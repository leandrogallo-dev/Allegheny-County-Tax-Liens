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ortfolio\Allegheny-County-Tax-Liens\docs\"/>
    </mc:Choice>
  </mc:AlternateContent>
  <xr:revisionPtr revIDLastSave="0" documentId="13_ncr:1_{6155B09E-10B7-47FA-B66C-56C5B597F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 de Insights" sheetId="1" r:id="rId1"/>
    <sheet name="DashBoards de Insights" sheetId="2" r:id="rId2"/>
  </sheets>
  <definedNames>
    <definedName name="_xlchart.v1.3" hidden="1">'DashBoards de Insights'!$AC$3:$AC$140</definedName>
    <definedName name="_xlchart.v1.4" hidden="1">'DashBoards de Insights'!$AD$3:$AD$140</definedName>
    <definedName name="_xlchart.v2.0" hidden="1">'DashBoards de Insights'!$AA$2</definedName>
    <definedName name="_xlchart.v2.1" hidden="1">'DashBoards de Insights'!$AA$3:$AA$12</definedName>
    <definedName name="_xlchart.v2.2" hidden="1">'DashBoards de Insights'!$Z$3:$Z$12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<sst xmlns="http://schemas.openxmlformats.org/spreadsheetml/2006/main" count="284" uniqueCount="211">
  <si>
    <t>Pittsburgh</t>
  </si>
  <si>
    <t>26915486.71</t>
  </si>
  <si>
    <t>Penn Hills Township</t>
  </si>
  <si>
    <t>9712094.83</t>
  </si>
  <si>
    <t>Monroeville Boro</t>
  </si>
  <si>
    <t>5020204.36</t>
  </si>
  <si>
    <t>West Mifflin Boro</t>
  </si>
  <si>
    <t>4624606.23</t>
  </si>
  <si>
    <t>Wilkinsburg Boro</t>
  </si>
  <si>
    <t>4279804.83</t>
  </si>
  <si>
    <t>Avanlon Boro</t>
  </si>
  <si>
    <t>2380.70</t>
  </si>
  <si>
    <t>Trafford Boro</t>
  </si>
  <si>
    <t>1268.13</t>
  </si>
  <si>
    <t>Haysville Boro</t>
  </si>
  <si>
    <t>227.98</t>
  </si>
  <si>
    <t>43               L</t>
  </si>
  <si>
    <t>133.39</t>
  </si>
  <si>
    <t>...</t>
  </si>
  <si>
    <t>…</t>
  </si>
  <si>
    <t>municipality_name</t>
  </si>
  <si>
    <t>total_liens</t>
  </si>
  <si>
    <t>total_debt</t>
  </si>
  <si>
    <t>Total de deuda por municipio</t>
  </si>
  <si>
    <t>1832L00099000000</t>
  </si>
  <si>
    <t>205452.74</t>
  </si>
  <si>
    <t>0138S00120000000</t>
  </si>
  <si>
    <t>193885.10</t>
  </si>
  <si>
    <t>0109B00008000000</t>
  </si>
  <si>
    <t>186451.13</t>
  </si>
  <si>
    <t>176055.75</t>
  </si>
  <si>
    <t>0110P00125000000</t>
  </si>
  <si>
    <t>136860.99</t>
  </si>
  <si>
    <t>123025.50</t>
  </si>
  <si>
    <t>119095.47</t>
  </si>
  <si>
    <t>115175.58</t>
  </si>
  <si>
    <t>0388C00398000000</t>
  </si>
  <si>
    <t>103585.56</t>
  </si>
  <si>
    <t>property_id</t>
  </si>
  <si>
    <t>transaction_amount</t>
  </si>
  <si>
    <t>Top 10 propiedades con mayor deuda</t>
  </si>
  <si>
    <t>19.53</t>
  </si>
  <si>
    <t>8.25</t>
  </si>
  <si>
    <t>9.75</t>
  </si>
  <si>
    <t>tax_fiscal_year</t>
  </si>
  <si>
    <t>total_year_amount</t>
  </si>
  <si>
    <t>5995622.73</t>
  </si>
  <si>
    <t>4004813.76</t>
  </si>
  <si>
    <t>1456774.01</t>
  </si>
  <si>
    <t>Deuda total por año fiscal</t>
  </si>
  <si>
    <t>Promedio de deuda por gravamen</t>
  </si>
  <si>
    <t>0.00</t>
  </si>
  <si>
    <t>avg_lien_amount</t>
  </si>
  <si>
    <t>min_lien</t>
  </si>
  <si>
    <t>max_lien</t>
  </si>
  <si>
    <t>City of McKeesport</t>
  </si>
  <si>
    <t>Munhall Boro</t>
  </si>
  <si>
    <t>Plum Boro</t>
  </si>
  <si>
    <t>City of Clairton</t>
  </si>
  <si>
    <t>Shaler Township</t>
  </si>
  <si>
    <t>Municipios con más gravámenes</t>
  </si>
  <si>
    <t>Allegheny County Tax Lien</t>
  </si>
  <si>
    <t>School District Tax Lien</t>
  </si>
  <si>
    <t>Borough Tax Lien</t>
  </si>
  <si>
    <t>City &amp; School Tax Lien</t>
  </si>
  <si>
    <t>Township Tax Lien</t>
  </si>
  <si>
    <t>Township &amp; School Tax Lien</t>
  </si>
  <si>
    <t>City of Pittsburgh Tax Lien</t>
  </si>
  <si>
    <t>3rd Class City Tax Lien</t>
  </si>
  <si>
    <t>Borough &amp; School Tax Lien</t>
  </si>
  <si>
    <t>Pgh Water &amp; Sewer Tax Lien</t>
  </si>
  <si>
    <t>lien_description</t>
  </si>
  <si>
    <t>total_cases</t>
  </si>
  <si>
    <t>Borough Of Whiteha</t>
  </si>
  <si>
    <t>Bradford Woods Boro</t>
  </si>
  <si>
    <t>Pine Township</t>
  </si>
  <si>
    <t>Sewickley Hts. Boro</t>
  </si>
  <si>
    <t>Sewickley Hills Boro</t>
  </si>
  <si>
    <t>Wall Boro</t>
  </si>
  <si>
    <t>S. Versailles Twp.</t>
  </si>
  <si>
    <t>avg_debt</t>
  </si>
  <si>
    <t>Municipios con mayor deuda promedio</t>
  </si>
  <si>
    <t>Top entidades asignadas</t>
  </si>
  <si>
    <t>Unknown</t>
  </si>
  <si>
    <t>Redevelopment Authority of Allegheny County</t>
  </si>
  <si>
    <t>City of Pittsburgh</t>
  </si>
  <si>
    <t>GLS Capital Inc.</t>
  </si>
  <si>
    <t>National Tax Funding L.P.</t>
  </si>
  <si>
    <t>Caulis Negris LLC</t>
  </si>
  <si>
    <t>Allegheny County</t>
  </si>
  <si>
    <t>Evolución de gravámenes por año</t>
  </si>
  <si>
    <t>filing_year</t>
  </si>
  <si>
    <t>liens_filed</t>
  </si>
  <si>
    <t>assigned_entity</t>
  </si>
  <si>
    <t>Mt. Lebanon Township</t>
  </si>
  <si>
    <t>Brentwood Boro</t>
  </si>
  <si>
    <t>Bethel Park Boro</t>
  </si>
  <si>
    <t>Ross Township</t>
  </si>
  <si>
    <t>Coraopolis Boro</t>
  </si>
  <si>
    <t>Moon Township</t>
  </si>
  <si>
    <t>Swissvale Boro</t>
  </si>
  <si>
    <t>N. Versailles Twp.</t>
  </si>
  <si>
    <t>Baldwin Boro</t>
  </si>
  <si>
    <t>Elizabeth Township</t>
  </si>
  <si>
    <t>N. Fayette Township</t>
  </si>
  <si>
    <t>Carnegie Boro</t>
  </si>
  <si>
    <t>Harrison Township</t>
  </si>
  <si>
    <t>Upper St. Clair Twp.</t>
  </si>
  <si>
    <t>Oakmont Boro</t>
  </si>
  <si>
    <t>S. Fayette Township</t>
  </si>
  <si>
    <t>McKees Rocks Boro</t>
  </si>
  <si>
    <t>Scott Township</t>
  </si>
  <si>
    <t>Tarentum Boro</t>
  </si>
  <si>
    <t>West Deer Township</t>
  </si>
  <si>
    <t>Wilkins Township</t>
  </si>
  <si>
    <t>Richland Township</t>
  </si>
  <si>
    <t>Homestead Boro</t>
  </si>
  <si>
    <t>Whitehall Boro</t>
  </si>
  <si>
    <t>Robinson Township</t>
  </si>
  <si>
    <t>Indiana Township</t>
  </si>
  <si>
    <t>Hampton Township</t>
  </si>
  <si>
    <t>Jefferson Hills Boro</t>
  </si>
  <si>
    <t>O'Hara Township</t>
  </si>
  <si>
    <t>Crafton Boro</t>
  </si>
  <si>
    <t>Bellevue Boro</t>
  </si>
  <si>
    <t>Dormont Boro</t>
  </si>
  <si>
    <t>N. Braddock Boro</t>
  </si>
  <si>
    <t>South Park Township</t>
  </si>
  <si>
    <t>McCandless Township</t>
  </si>
  <si>
    <t>Millvale Boro</t>
  </si>
  <si>
    <t>Etna Boro</t>
  </si>
  <si>
    <t>Fawn Township</t>
  </si>
  <si>
    <t>Turtle Creek Boro</t>
  </si>
  <si>
    <t>Kennedy Township</t>
  </si>
  <si>
    <t>Verona Boro</t>
  </si>
  <si>
    <t>Avalon Boro</t>
  </si>
  <si>
    <t>Castle Shannon Boro</t>
  </si>
  <si>
    <t>Stowe Township</t>
  </si>
  <si>
    <t>Glassport Boro</t>
  </si>
  <si>
    <t>Reserve Township</t>
  </si>
  <si>
    <t>Brackenridge Boro</t>
  </si>
  <si>
    <t>Churchill Boro</t>
  </si>
  <si>
    <t>Marshall Township</t>
  </si>
  <si>
    <t>Sewickley Boro</t>
  </si>
  <si>
    <t>Collier Township</t>
  </si>
  <si>
    <t>Pleasant Hills Boro</t>
  </si>
  <si>
    <t>Forward Township</t>
  </si>
  <si>
    <t>West View Boro</t>
  </si>
  <si>
    <t>Franklin Park Boro</t>
  </si>
  <si>
    <t>Braddock Boro</t>
  </si>
  <si>
    <t>Sharpsburg Boro</t>
  </si>
  <si>
    <t>Mt. Oliver Boro</t>
  </si>
  <si>
    <t>Bridgeville Boro</t>
  </si>
  <si>
    <t>Pitcairn Boro</t>
  </si>
  <si>
    <t>Forest Hills Boro</t>
  </si>
  <si>
    <t>White Oak Boro</t>
  </si>
  <si>
    <t>Baldwin Township</t>
  </si>
  <si>
    <t>City of Duquesne</t>
  </si>
  <si>
    <t>Crescent Township</t>
  </si>
  <si>
    <t>Elizabeth Boro</t>
  </si>
  <si>
    <t>Fox Chapel Boro</t>
  </si>
  <si>
    <t>Port Vue Boro</t>
  </si>
  <si>
    <t>Edgewood Boro</t>
  </si>
  <si>
    <t>West Homestead Boro</t>
  </si>
  <si>
    <t>Leetsdale Boro</t>
  </si>
  <si>
    <t>Rankin Boro</t>
  </si>
  <si>
    <t>Braddock Hills Boro</t>
  </si>
  <si>
    <t>Neville Township</t>
  </si>
  <si>
    <t>Aleppo Township</t>
  </si>
  <si>
    <t>Ingram Boro</t>
  </si>
  <si>
    <t>Greentree Boro</t>
  </si>
  <si>
    <t>Aspinwall Boro</t>
  </si>
  <si>
    <t>East Deer Township</t>
  </si>
  <si>
    <t>Wilmerding Boro</t>
  </si>
  <si>
    <t>Dravosburg Boro</t>
  </si>
  <si>
    <t>Liberty Boro</t>
  </si>
  <si>
    <t>Kilbuck Township</t>
  </si>
  <si>
    <t>East Pittsburgh Boro</t>
  </si>
  <si>
    <t>Findlay Township</t>
  </si>
  <si>
    <t>Springdale Boro</t>
  </si>
  <si>
    <t>Frazer Township</t>
  </si>
  <si>
    <t>Cheswick Boro</t>
  </si>
  <si>
    <t>Springdale Township</t>
  </si>
  <si>
    <t>Heidelberg Boro</t>
  </si>
  <si>
    <t>Harmar Township</t>
  </si>
  <si>
    <t>Whitaker Boro</t>
  </si>
  <si>
    <t>East McKeesport Boro</t>
  </si>
  <si>
    <t>Lincoln Boro</t>
  </si>
  <si>
    <t>Ohio Township</t>
  </si>
  <si>
    <t>Ben Avon Boro</t>
  </si>
  <si>
    <t>Leet Township</t>
  </si>
  <si>
    <t>Emsworth Boro</t>
  </si>
  <si>
    <t>Edgeworth Boro</t>
  </si>
  <si>
    <t>Versailles Boro</t>
  </si>
  <si>
    <t>West Elizabeth Boro</t>
  </si>
  <si>
    <t>City of Duquesnt</t>
  </si>
  <si>
    <t>Blawnox Boro</t>
  </si>
  <si>
    <t>Chalfant Boro</t>
  </si>
  <si>
    <t>Bell Acres Boro</t>
  </si>
  <si>
    <t>Oakdale Boro</t>
  </si>
  <si>
    <t>Borough Of Baldwin</t>
  </si>
  <si>
    <t>Verona Borough</t>
  </si>
  <si>
    <t>Glenfield Boro</t>
  </si>
  <si>
    <t>Glen Osborne Boro</t>
  </si>
  <si>
    <t>Thornburg Boro</t>
  </si>
  <si>
    <t>Rosslyn Farms Boro</t>
  </si>
  <si>
    <t>Ben Avon Hts. Boro</t>
  </si>
  <si>
    <t>Pennsbury Village</t>
  </si>
  <si>
    <t>McDonald Boro</t>
  </si>
  <si>
    <t>Wilkinsburg SD</t>
  </si>
  <si>
    <t>Cantidad de gravámenes por 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</si>
</sst>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5" formatCode="[$$-409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3" fontId="0" fillId="0" borderId="8" xfId="0" applyNumberFormat="1" applyBorder="1"/>
    <xf numFmtId="0" fontId="0" fillId="0" borderId="15" xfId="0" applyBorder="1"/>
    <xf numFmtId="0" fontId="0" fillId="2" borderId="1" xfId="0" applyFill="1" applyBorder="1"/>
    <xf numFmtId="0" fontId="0" fillId="2" borderId="10" xfId="0" applyFill="1" applyBorder="1"/>
    <xf numFmtId="0" fontId="0" fillId="2" borderId="15" xfId="0" applyFill="1" applyBorder="1"/>
    <xf numFmtId="3" fontId="0" fillId="0" borderId="15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5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0" xfId="0" applyBorder="1" applyAlignment="1"/>
    <xf numFmtId="164" fontId="0" fillId="0" borderId="0" xfId="0" applyNumberFormat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Deuda total por año fiscal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553937007874016"/>
          <c:y val="0.14579870224555264"/>
          <c:w val="0.77001618547681538"/>
          <c:h val="0.68729986876640425"/>
        </c:manualLayout>
      </c:layout>
      <c:areaChart>
        <c:grouping val="stacked"/>
        <c:varyColors val="0"/>
        <c:ser>
          <c:idx val="0"/>
          <c:order val="0"/>
          <c:tx>
            <c:strRef>
              <c:f>'DashBoards de Insights'!$X$2</c:f>
              <c:strCache>
                <c:ptCount val="1"/>
                <c:pt idx="0">
                  <c:v>total_year_amount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'DashBoards de Insights'!$W$3:$W$120</c:f>
              <c:numCache>
                <c:formatCode>0</c:formatCode>
                <c:ptCount val="118"/>
                <c:pt idx="0">
                  <c:v>1907</c:v>
                </c:pt>
                <c:pt idx="1">
                  <c:v>1908</c:v>
                </c:pt>
                <c:pt idx="2">
                  <c:v>1909</c:v>
                </c:pt>
                <c:pt idx="3">
                  <c:v>1910</c:v>
                </c:pt>
                <c:pt idx="4">
                  <c:v>1911</c:v>
                </c:pt>
                <c:pt idx="5">
                  <c:v>1912</c:v>
                </c:pt>
                <c:pt idx="6">
                  <c:v>1913</c:v>
                </c:pt>
                <c:pt idx="7">
                  <c:v>1914</c:v>
                </c:pt>
                <c:pt idx="8">
                  <c:v>1915</c:v>
                </c:pt>
                <c:pt idx="9">
                  <c:v>1916</c:v>
                </c:pt>
                <c:pt idx="10">
                  <c:v>1917</c:v>
                </c:pt>
                <c:pt idx="11">
                  <c:v>1918</c:v>
                </c:pt>
                <c:pt idx="12">
                  <c:v>1919</c:v>
                </c:pt>
                <c:pt idx="13">
                  <c:v>1920</c:v>
                </c:pt>
                <c:pt idx="14">
                  <c:v>1921</c:v>
                </c:pt>
                <c:pt idx="15">
                  <c:v>1922</c:v>
                </c:pt>
                <c:pt idx="16">
                  <c:v>1923</c:v>
                </c:pt>
                <c:pt idx="17">
                  <c:v>1924</c:v>
                </c:pt>
                <c:pt idx="18">
                  <c:v>1925</c:v>
                </c:pt>
                <c:pt idx="19">
                  <c:v>1926</c:v>
                </c:pt>
                <c:pt idx="20">
                  <c:v>1927</c:v>
                </c:pt>
                <c:pt idx="21">
                  <c:v>1928</c:v>
                </c:pt>
                <c:pt idx="22">
                  <c:v>1929</c:v>
                </c:pt>
                <c:pt idx="23">
                  <c:v>1930</c:v>
                </c:pt>
                <c:pt idx="24">
                  <c:v>1931</c:v>
                </c:pt>
                <c:pt idx="25">
                  <c:v>1932</c:v>
                </c:pt>
                <c:pt idx="26">
                  <c:v>1933</c:v>
                </c:pt>
                <c:pt idx="27">
                  <c:v>1934</c:v>
                </c:pt>
                <c:pt idx="28">
                  <c:v>1935</c:v>
                </c:pt>
                <c:pt idx="29">
                  <c:v>1936</c:v>
                </c:pt>
                <c:pt idx="30">
                  <c:v>1937</c:v>
                </c:pt>
                <c:pt idx="31">
                  <c:v>1938</c:v>
                </c:pt>
                <c:pt idx="32">
                  <c:v>1939</c:v>
                </c:pt>
                <c:pt idx="33">
                  <c:v>1940</c:v>
                </c:pt>
                <c:pt idx="34">
                  <c:v>1941</c:v>
                </c:pt>
                <c:pt idx="35">
                  <c:v>1942</c:v>
                </c:pt>
                <c:pt idx="36">
                  <c:v>1943</c:v>
                </c:pt>
                <c:pt idx="37">
                  <c:v>1944</c:v>
                </c:pt>
                <c:pt idx="38">
                  <c:v>1945</c:v>
                </c:pt>
                <c:pt idx="39">
                  <c:v>1946</c:v>
                </c:pt>
                <c:pt idx="40">
                  <c:v>1947</c:v>
                </c:pt>
                <c:pt idx="41">
                  <c:v>1948</c:v>
                </c:pt>
                <c:pt idx="42">
                  <c:v>1949</c:v>
                </c:pt>
                <c:pt idx="43">
                  <c:v>1950</c:v>
                </c:pt>
                <c:pt idx="44">
                  <c:v>1951</c:v>
                </c:pt>
                <c:pt idx="45">
                  <c:v>1952</c:v>
                </c:pt>
                <c:pt idx="46">
                  <c:v>1953</c:v>
                </c:pt>
                <c:pt idx="47">
                  <c:v>1954</c:v>
                </c:pt>
                <c:pt idx="48">
                  <c:v>1955</c:v>
                </c:pt>
                <c:pt idx="49">
                  <c:v>1956</c:v>
                </c:pt>
                <c:pt idx="50">
                  <c:v>1957</c:v>
                </c:pt>
                <c:pt idx="51">
                  <c:v>1958</c:v>
                </c:pt>
                <c:pt idx="52">
                  <c:v>1959</c:v>
                </c:pt>
                <c:pt idx="53">
                  <c:v>1960</c:v>
                </c:pt>
                <c:pt idx="54">
                  <c:v>1961</c:v>
                </c:pt>
                <c:pt idx="55">
                  <c:v>1962</c:v>
                </c:pt>
                <c:pt idx="56">
                  <c:v>1963</c:v>
                </c:pt>
                <c:pt idx="57">
                  <c:v>1964</c:v>
                </c:pt>
                <c:pt idx="58">
                  <c:v>1965</c:v>
                </c:pt>
                <c:pt idx="59">
                  <c:v>1966</c:v>
                </c:pt>
                <c:pt idx="60">
                  <c:v>1967</c:v>
                </c:pt>
                <c:pt idx="61">
                  <c:v>1968</c:v>
                </c:pt>
                <c:pt idx="62">
                  <c:v>1969</c:v>
                </c:pt>
                <c:pt idx="63">
                  <c:v>1970</c:v>
                </c:pt>
                <c:pt idx="64">
                  <c:v>1971</c:v>
                </c:pt>
                <c:pt idx="65">
                  <c:v>1972</c:v>
                </c:pt>
                <c:pt idx="66">
                  <c:v>1973</c:v>
                </c:pt>
                <c:pt idx="67">
                  <c:v>1974</c:v>
                </c:pt>
                <c:pt idx="68">
                  <c:v>1975</c:v>
                </c:pt>
                <c:pt idx="69">
                  <c:v>1976</c:v>
                </c:pt>
                <c:pt idx="70">
                  <c:v>1977</c:v>
                </c:pt>
                <c:pt idx="71">
                  <c:v>1978</c:v>
                </c:pt>
                <c:pt idx="72">
                  <c:v>1979</c:v>
                </c:pt>
                <c:pt idx="73">
                  <c:v>1980</c:v>
                </c:pt>
                <c:pt idx="74">
                  <c:v>1981</c:v>
                </c:pt>
                <c:pt idx="75">
                  <c:v>1982</c:v>
                </c:pt>
                <c:pt idx="76">
                  <c:v>1983</c:v>
                </c:pt>
                <c:pt idx="77">
                  <c:v>1984</c:v>
                </c:pt>
                <c:pt idx="78">
                  <c:v>1985</c:v>
                </c:pt>
                <c:pt idx="79">
                  <c:v>1986</c:v>
                </c:pt>
                <c:pt idx="80">
                  <c:v>1987</c:v>
                </c:pt>
                <c:pt idx="81">
                  <c:v>1988</c:v>
                </c:pt>
                <c:pt idx="82">
                  <c:v>1989</c:v>
                </c:pt>
                <c:pt idx="83">
                  <c:v>1990</c:v>
                </c:pt>
                <c:pt idx="84">
                  <c:v>1991</c:v>
                </c:pt>
                <c:pt idx="85">
                  <c:v>1992</c:v>
                </c:pt>
                <c:pt idx="86">
                  <c:v>1993</c:v>
                </c:pt>
                <c:pt idx="87">
                  <c:v>1994</c:v>
                </c:pt>
                <c:pt idx="88">
                  <c:v>1995</c:v>
                </c:pt>
                <c:pt idx="89">
                  <c:v>1996</c:v>
                </c:pt>
                <c:pt idx="90">
                  <c:v>1997</c:v>
                </c:pt>
                <c:pt idx="91">
                  <c:v>1998</c:v>
                </c:pt>
                <c:pt idx="92">
                  <c:v>1999</c:v>
                </c:pt>
                <c:pt idx="93">
                  <c:v>2000</c:v>
                </c:pt>
                <c:pt idx="94">
                  <c:v>2001</c:v>
                </c:pt>
                <c:pt idx="95">
                  <c:v>2002</c:v>
                </c:pt>
                <c:pt idx="96">
                  <c:v>2003</c:v>
                </c:pt>
                <c:pt idx="97">
                  <c:v>2004</c:v>
                </c:pt>
                <c:pt idx="98">
                  <c:v>2005</c:v>
                </c:pt>
                <c:pt idx="99">
                  <c:v>2006</c:v>
                </c:pt>
                <c:pt idx="100">
                  <c:v>2007</c:v>
                </c:pt>
                <c:pt idx="101">
                  <c:v>2008</c:v>
                </c:pt>
                <c:pt idx="102">
                  <c:v>2009</c:v>
                </c:pt>
                <c:pt idx="103">
                  <c:v>2010</c:v>
                </c:pt>
                <c:pt idx="104">
                  <c:v>2011</c:v>
                </c:pt>
                <c:pt idx="105">
                  <c:v>2012</c:v>
                </c:pt>
                <c:pt idx="106">
                  <c:v>2013</c:v>
                </c:pt>
                <c:pt idx="107">
                  <c:v>2014</c:v>
                </c:pt>
                <c:pt idx="108">
                  <c:v>2015</c:v>
                </c:pt>
                <c:pt idx="109">
                  <c:v>2016</c:v>
                </c:pt>
                <c:pt idx="110">
                  <c:v>2017</c:v>
                </c:pt>
                <c:pt idx="111">
                  <c:v>2018</c:v>
                </c:pt>
                <c:pt idx="112">
                  <c:v>2019</c:v>
                </c:pt>
                <c:pt idx="113">
                  <c:v>2020</c:v>
                </c:pt>
                <c:pt idx="114">
                  <c:v>2021</c:v>
                </c:pt>
                <c:pt idx="115">
                  <c:v>2022</c:v>
                </c:pt>
                <c:pt idx="116">
                  <c:v>2023</c:v>
                </c:pt>
                <c:pt idx="117">
                  <c:v>2024</c:v>
                </c:pt>
              </c:numCache>
            </c:numRef>
          </c:cat>
          <c:val>
            <c:numRef>
              <c:f>'DashBoards de Insights'!$X$3:$X$120</c:f>
              <c:numCache>
                <c:formatCode>[$$-409]#,##0.00</c:formatCode>
                <c:ptCount val="118"/>
                <c:pt idx="0">
                  <c:v>19.53</c:v>
                </c:pt>
                <c:pt idx="1">
                  <c:v>8.25</c:v>
                </c:pt>
                <c:pt idx="2">
                  <c:v>8.25</c:v>
                </c:pt>
                <c:pt idx="3">
                  <c:v>9.75</c:v>
                </c:pt>
                <c:pt idx="4">
                  <c:v>8.25</c:v>
                </c:pt>
                <c:pt idx="5">
                  <c:v>9.75</c:v>
                </c:pt>
                <c:pt idx="6">
                  <c:v>8.94</c:v>
                </c:pt>
                <c:pt idx="7">
                  <c:v>9.6199999999999992</c:v>
                </c:pt>
                <c:pt idx="8">
                  <c:v>8.25</c:v>
                </c:pt>
                <c:pt idx="9">
                  <c:v>43.52</c:v>
                </c:pt>
                <c:pt idx="10">
                  <c:v>55.9</c:v>
                </c:pt>
                <c:pt idx="11">
                  <c:v>55.47</c:v>
                </c:pt>
                <c:pt idx="12">
                  <c:v>41.02</c:v>
                </c:pt>
                <c:pt idx="13">
                  <c:v>27.64</c:v>
                </c:pt>
                <c:pt idx="14">
                  <c:v>58.17</c:v>
                </c:pt>
                <c:pt idx="15">
                  <c:v>27.31</c:v>
                </c:pt>
                <c:pt idx="16">
                  <c:v>87.33</c:v>
                </c:pt>
                <c:pt idx="17">
                  <c:v>16.850000000000001</c:v>
                </c:pt>
                <c:pt idx="18">
                  <c:v>27.46</c:v>
                </c:pt>
                <c:pt idx="19">
                  <c:v>31.06</c:v>
                </c:pt>
                <c:pt idx="20">
                  <c:v>60.89</c:v>
                </c:pt>
                <c:pt idx="21">
                  <c:v>126.5</c:v>
                </c:pt>
                <c:pt idx="22">
                  <c:v>126.64</c:v>
                </c:pt>
                <c:pt idx="23">
                  <c:v>132.79</c:v>
                </c:pt>
                <c:pt idx="24">
                  <c:v>251.31</c:v>
                </c:pt>
                <c:pt idx="25">
                  <c:v>183.23</c:v>
                </c:pt>
                <c:pt idx="26">
                  <c:v>222.2</c:v>
                </c:pt>
                <c:pt idx="27">
                  <c:v>269.77</c:v>
                </c:pt>
                <c:pt idx="28">
                  <c:v>223.21</c:v>
                </c:pt>
                <c:pt idx="29">
                  <c:v>172.81</c:v>
                </c:pt>
                <c:pt idx="30">
                  <c:v>131.83000000000001</c:v>
                </c:pt>
                <c:pt idx="31">
                  <c:v>253.76</c:v>
                </c:pt>
                <c:pt idx="32">
                  <c:v>229.7</c:v>
                </c:pt>
                <c:pt idx="33">
                  <c:v>225.45</c:v>
                </c:pt>
                <c:pt idx="34">
                  <c:v>357.16</c:v>
                </c:pt>
                <c:pt idx="35">
                  <c:v>348.48</c:v>
                </c:pt>
                <c:pt idx="36">
                  <c:v>419.22</c:v>
                </c:pt>
                <c:pt idx="37">
                  <c:v>471.05</c:v>
                </c:pt>
                <c:pt idx="38">
                  <c:v>410.32</c:v>
                </c:pt>
                <c:pt idx="39">
                  <c:v>443.5</c:v>
                </c:pt>
                <c:pt idx="40">
                  <c:v>607.07000000000005</c:v>
                </c:pt>
                <c:pt idx="41">
                  <c:v>460.84</c:v>
                </c:pt>
                <c:pt idx="42">
                  <c:v>551.39</c:v>
                </c:pt>
                <c:pt idx="43">
                  <c:v>673.15</c:v>
                </c:pt>
                <c:pt idx="44">
                  <c:v>639.97</c:v>
                </c:pt>
                <c:pt idx="45">
                  <c:v>651.38</c:v>
                </c:pt>
                <c:pt idx="46">
                  <c:v>823.36</c:v>
                </c:pt>
                <c:pt idx="47">
                  <c:v>686.19</c:v>
                </c:pt>
                <c:pt idx="48">
                  <c:v>678.99</c:v>
                </c:pt>
                <c:pt idx="49">
                  <c:v>792.83</c:v>
                </c:pt>
                <c:pt idx="50">
                  <c:v>481.77</c:v>
                </c:pt>
                <c:pt idx="51">
                  <c:v>550.38</c:v>
                </c:pt>
                <c:pt idx="52">
                  <c:v>573.28</c:v>
                </c:pt>
                <c:pt idx="53">
                  <c:v>723.57</c:v>
                </c:pt>
                <c:pt idx="54">
                  <c:v>737.9</c:v>
                </c:pt>
                <c:pt idx="55">
                  <c:v>956.92</c:v>
                </c:pt>
                <c:pt idx="56">
                  <c:v>1013.84</c:v>
                </c:pt>
                <c:pt idx="57">
                  <c:v>1180.57</c:v>
                </c:pt>
                <c:pt idx="58">
                  <c:v>1072.6199999999999</c:v>
                </c:pt>
                <c:pt idx="59">
                  <c:v>1339.4</c:v>
                </c:pt>
                <c:pt idx="60">
                  <c:v>1184.83</c:v>
                </c:pt>
                <c:pt idx="61">
                  <c:v>1470.77</c:v>
                </c:pt>
                <c:pt idx="62">
                  <c:v>1864.99</c:v>
                </c:pt>
                <c:pt idx="63">
                  <c:v>3294.98</c:v>
                </c:pt>
                <c:pt idx="64">
                  <c:v>3971.23</c:v>
                </c:pt>
                <c:pt idx="65">
                  <c:v>4082.49</c:v>
                </c:pt>
                <c:pt idx="66">
                  <c:v>3882.15</c:v>
                </c:pt>
                <c:pt idx="67">
                  <c:v>4092.36</c:v>
                </c:pt>
                <c:pt idx="68">
                  <c:v>4641.4399999999996</c:v>
                </c:pt>
                <c:pt idx="69">
                  <c:v>14319.21</c:v>
                </c:pt>
                <c:pt idx="70">
                  <c:v>7672.71</c:v>
                </c:pt>
                <c:pt idx="71">
                  <c:v>7911.26</c:v>
                </c:pt>
                <c:pt idx="72">
                  <c:v>8642.42</c:v>
                </c:pt>
                <c:pt idx="73">
                  <c:v>11140.93</c:v>
                </c:pt>
                <c:pt idx="74">
                  <c:v>11461.22</c:v>
                </c:pt>
                <c:pt idx="75">
                  <c:v>13181.89</c:v>
                </c:pt>
                <c:pt idx="76">
                  <c:v>12325.14</c:v>
                </c:pt>
                <c:pt idx="77">
                  <c:v>15212.99</c:v>
                </c:pt>
                <c:pt idx="78">
                  <c:v>98510.22</c:v>
                </c:pt>
                <c:pt idx="79">
                  <c:v>16061.56</c:v>
                </c:pt>
                <c:pt idx="80">
                  <c:v>15065.69</c:v>
                </c:pt>
                <c:pt idx="81">
                  <c:v>16635.009999999998</c:v>
                </c:pt>
                <c:pt idx="82">
                  <c:v>29707.08</c:v>
                </c:pt>
                <c:pt idx="83">
                  <c:v>30787.74</c:v>
                </c:pt>
                <c:pt idx="84">
                  <c:v>55100.24</c:v>
                </c:pt>
                <c:pt idx="85">
                  <c:v>96456.71</c:v>
                </c:pt>
                <c:pt idx="86">
                  <c:v>179210.87</c:v>
                </c:pt>
                <c:pt idx="87">
                  <c:v>323489.09999999998</c:v>
                </c:pt>
                <c:pt idx="88">
                  <c:v>382348.94</c:v>
                </c:pt>
                <c:pt idx="89">
                  <c:v>387661.05</c:v>
                </c:pt>
                <c:pt idx="90">
                  <c:v>599871.96</c:v>
                </c:pt>
                <c:pt idx="91">
                  <c:v>484108.73</c:v>
                </c:pt>
                <c:pt idx="92">
                  <c:v>517453.31</c:v>
                </c:pt>
                <c:pt idx="93">
                  <c:v>651114.62</c:v>
                </c:pt>
                <c:pt idx="94">
                  <c:v>962986.28</c:v>
                </c:pt>
                <c:pt idx="95">
                  <c:v>1214444.93</c:v>
                </c:pt>
                <c:pt idx="96">
                  <c:v>1520941.02</c:v>
                </c:pt>
                <c:pt idx="97">
                  <c:v>1826514.1</c:v>
                </c:pt>
                <c:pt idx="98">
                  <c:v>2173336.9</c:v>
                </c:pt>
                <c:pt idx="99">
                  <c:v>3236301.1</c:v>
                </c:pt>
                <c:pt idx="100">
                  <c:v>4161534.18</c:v>
                </c:pt>
                <c:pt idx="101">
                  <c:v>4842007.46</c:v>
                </c:pt>
                <c:pt idx="102">
                  <c:v>6098015.1799999997</c:v>
                </c:pt>
                <c:pt idx="103">
                  <c:v>8216317.7400000002</c:v>
                </c:pt>
                <c:pt idx="104">
                  <c:v>10418581.789999999</c:v>
                </c:pt>
                <c:pt idx="105">
                  <c:v>12888113.289999999</c:v>
                </c:pt>
                <c:pt idx="106">
                  <c:v>14211272.390000001</c:v>
                </c:pt>
                <c:pt idx="107">
                  <c:v>13922717.380000001</c:v>
                </c:pt>
                <c:pt idx="108">
                  <c:v>13355744.439999999</c:v>
                </c:pt>
                <c:pt idx="109">
                  <c:v>10076695.130000001</c:v>
                </c:pt>
                <c:pt idx="110">
                  <c:v>10248167.43</c:v>
                </c:pt>
                <c:pt idx="111">
                  <c:v>10389151.039999999</c:v>
                </c:pt>
                <c:pt idx="112">
                  <c:v>9093989.4800000004</c:v>
                </c:pt>
                <c:pt idx="113">
                  <c:v>7627444.7300000004</c:v>
                </c:pt>
                <c:pt idx="114">
                  <c:v>7182984.5300000003</c:v>
                </c:pt>
                <c:pt idx="115">
                  <c:v>5995622.7300000004</c:v>
                </c:pt>
                <c:pt idx="116">
                  <c:v>4004813.76</c:v>
                </c:pt>
                <c:pt idx="117">
                  <c:v>1456774.01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5-4FC5-B0E6-0D49DD716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526799"/>
        <c:axId val="1159525135"/>
      </c:areaChart>
      <c:catAx>
        <c:axId val="115952679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9525135"/>
        <c:crosses val="autoZero"/>
        <c:auto val="1"/>
        <c:lblAlgn val="ctr"/>
        <c:lblOffset val="100"/>
        <c:noMultiLvlLbl val="0"/>
      </c:catAx>
      <c:valAx>
        <c:axId val="11595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952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9000"/>
                  <a:alpha val="90000"/>
                </a:schemeClr>
              </a:solidFill>
              <a:ln w="19050">
                <a:solidFill>
                  <a:schemeClr val="accent1">
                    <a:shade val="39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39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39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BB-4A6F-9022-9E61F8E4BB0F}"/>
              </c:ext>
            </c:extLst>
          </c:dPt>
          <c:dPt>
            <c:idx val="1"/>
            <c:bubble3D val="0"/>
            <c:spPr>
              <a:solidFill>
                <a:schemeClr val="accent1">
                  <a:shade val="48000"/>
                  <a:alpha val="90000"/>
                </a:schemeClr>
              </a:solidFill>
              <a:ln w="19050">
                <a:solidFill>
                  <a:schemeClr val="accent1">
                    <a:shade val="48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48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48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DBB-4A6F-9022-9E61F8E4BB0F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  <a:alpha val="90000"/>
                </a:schemeClr>
              </a:solidFill>
              <a:ln w="19050">
                <a:solidFill>
                  <a:schemeClr val="accent1">
                    <a:shade val="58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58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58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BB-4A6F-9022-9E61F8E4BB0F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  <a:alpha val="90000"/>
                </a:schemeClr>
              </a:solidFill>
              <a:ln w="19050">
                <a:solidFill>
                  <a:schemeClr val="accent1">
                    <a:shade val="67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67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67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DBB-4A6F-9022-9E61F8E4BB0F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  <a:alpha val="90000"/>
                </a:schemeClr>
              </a:solidFill>
              <a:ln w="19050">
                <a:solidFill>
                  <a:schemeClr val="accent1">
                    <a:shade val="76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7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7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DBB-4A6F-9022-9E61F8E4BB0F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  <a:alpha val="90000"/>
                </a:schemeClr>
              </a:solidFill>
              <a:ln w="19050">
                <a:solidFill>
                  <a:schemeClr val="accent1">
                    <a:shade val="86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8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8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6DBB-4A6F-9022-9E61F8E4BB0F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  <a:alpha val="90000"/>
                </a:schemeClr>
              </a:solidFill>
              <a:ln w="19050">
                <a:solidFill>
                  <a:schemeClr val="accent1">
                    <a:shade val="95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shade val="9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shade val="9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DBB-4A6F-9022-9E61F8E4BB0F}"/>
              </c:ext>
            </c:extLst>
          </c:dPt>
          <c:dPt>
            <c:idx val="7"/>
            <c:bubble3D val="0"/>
            <c:spPr>
              <a:solidFill>
                <a:schemeClr val="accent1">
                  <a:tint val="96000"/>
                  <a:alpha val="90000"/>
                </a:schemeClr>
              </a:solidFill>
              <a:ln w="19050">
                <a:solidFill>
                  <a:schemeClr val="accent1">
                    <a:tint val="96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9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9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6DBB-4A6F-9022-9E61F8E4BB0F}"/>
              </c:ext>
            </c:extLst>
          </c:dPt>
          <c:dPt>
            <c:idx val="8"/>
            <c:bubble3D val="0"/>
            <c:spPr>
              <a:solidFill>
                <a:schemeClr val="accent1">
                  <a:tint val="86000"/>
                  <a:alpha val="90000"/>
                </a:schemeClr>
              </a:solidFill>
              <a:ln w="19050">
                <a:solidFill>
                  <a:schemeClr val="accent1">
                    <a:tint val="86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8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8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DBB-4A6F-9022-9E61F8E4BB0F}"/>
              </c:ext>
            </c:extLst>
          </c:dPt>
          <c:dPt>
            <c:idx val="9"/>
            <c:bubble3D val="0"/>
            <c:spPr>
              <a:solidFill>
                <a:schemeClr val="accent1">
                  <a:tint val="77000"/>
                  <a:alpha val="90000"/>
                </a:schemeClr>
              </a:solidFill>
              <a:ln w="19050">
                <a:solidFill>
                  <a:schemeClr val="accent1">
                    <a:tint val="77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77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77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6DBB-4A6F-9022-9E61F8E4BB0F}"/>
              </c:ext>
            </c:extLst>
          </c:dPt>
          <c:dPt>
            <c:idx val="10"/>
            <c:bubble3D val="0"/>
            <c:spPr>
              <a:solidFill>
                <a:schemeClr val="accent1">
                  <a:tint val="68000"/>
                  <a:alpha val="90000"/>
                </a:schemeClr>
              </a:solidFill>
              <a:ln w="19050">
                <a:solidFill>
                  <a:schemeClr val="accent1">
                    <a:tint val="68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68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68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DBB-4A6F-9022-9E61F8E4BB0F}"/>
              </c:ext>
            </c:extLst>
          </c:dPt>
          <c:dPt>
            <c:idx val="11"/>
            <c:bubble3D val="0"/>
            <c:spPr>
              <a:solidFill>
                <a:schemeClr val="accent1">
                  <a:tint val="58000"/>
                  <a:alpha val="90000"/>
                </a:schemeClr>
              </a:solidFill>
              <a:ln w="19050">
                <a:solidFill>
                  <a:schemeClr val="accent1">
                    <a:tint val="58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58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58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6DBB-4A6F-9022-9E61F8E4BB0F}"/>
              </c:ext>
            </c:extLst>
          </c:dPt>
          <c:dPt>
            <c:idx val="12"/>
            <c:bubble3D val="0"/>
            <c:spPr>
              <a:solidFill>
                <a:schemeClr val="accent1">
                  <a:tint val="49000"/>
                  <a:alpha val="90000"/>
                </a:schemeClr>
              </a:solidFill>
              <a:ln w="19050">
                <a:solidFill>
                  <a:schemeClr val="accent1">
                    <a:tint val="49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49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49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DBB-4A6F-9022-9E61F8E4BB0F}"/>
              </c:ext>
            </c:extLst>
          </c:dPt>
          <c:dPt>
            <c:idx val="13"/>
            <c:bubble3D val="0"/>
            <c:spPr>
              <a:solidFill>
                <a:schemeClr val="accent1">
                  <a:tint val="40000"/>
                  <a:alpha val="90000"/>
                </a:schemeClr>
              </a:solidFill>
              <a:ln w="19050">
                <a:solidFill>
                  <a:schemeClr val="accent1">
                    <a:tint val="4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tint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tint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6DBB-4A6F-9022-9E61F8E4BB0F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39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DBB-4A6F-9022-9E61F8E4BB0F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48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DBB-4A6F-9022-9E61F8E4BB0F}"/>
                </c:ext>
              </c:extLst>
            </c:dLbl>
            <c:dLbl>
              <c:idx val="2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58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DBB-4A6F-9022-9E61F8E4BB0F}"/>
                </c:ext>
              </c:extLst>
            </c:dLbl>
            <c:dLbl>
              <c:idx val="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67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DBB-4A6F-9022-9E61F8E4BB0F}"/>
                </c:ext>
              </c:extLst>
            </c:dLbl>
            <c:dLbl>
              <c:idx val="4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76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DBB-4A6F-9022-9E61F8E4BB0F}"/>
                </c:ext>
              </c:extLst>
            </c:dLbl>
            <c:dLbl>
              <c:idx val="5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86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6DBB-4A6F-9022-9E61F8E4BB0F}"/>
                </c:ext>
              </c:extLst>
            </c:dLbl>
            <c:dLbl>
              <c:idx val="6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shade val="95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DBB-4A6F-9022-9E61F8E4BB0F}"/>
                </c:ext>
              </c:extLst>
            </c:dLbl>
            <c:dLbl>
              <c:idx val="7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96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6DBB-4A6F-9022-9E61F8E4BB0F}"/>
                </c:ext>
              </c:extLst>
            </c:dLbl>
            <c:dLbl>
              <c:idx val="8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86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6DBB-4A6F-9022-9E61F8E4BB0F}"/>
                </c:ext>
              </c:extLst>
            </c:dLbl>
            <c:dLbl>
              <c:idx val="9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77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6DBB-4A6F-9022-9E61F8E4BB0F}"/>
                </c:ext>
              </c:extLst>
            </c:dLbl>
            <c:dLbl>
              <c:idx val="1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68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DBB-4A6F-9022-9E61F8E4BB0F}"/>
                </c:ext>
              </c:extLst>
            </c:dLbl>
            <c:dLbl>
              <c:idx val="1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58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6DBB-4A6F-9022-9E61F8E4BB0F}"/>
                </c:ext>
              </c:extLst>
            </c:dLbl>
            <c:dLbl>
              <c:idx val="12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49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6DBB-4A6F-9022-9E61F8E4BB0F}"/>
                </c:ext>
              </c:extLst>
            </c:dLbl>
            <c:dLbl>
              <c:idx val="1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tint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DBB-4A6F-9022-9E61F8E4BB0F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'DashBoards de Insights'!$AG$3:$AG$16</c:f>
              <c:numCache>
                <c:formatCode>General</c:formatCode>
                <c:ptCount val="14"/>
                <c:pt idx="0">
                  <c:v>2018</c:v>
                </c:pt>
                <c:pt idx="1">
                  <c:v>2017</c:v>
                </c:pt>
                <c:pt idx="2">
                  <c:v>2016</c:v>
                </c:pt>
                <c:pt idx="3">
                  <c:v>2019</c:v>
                </c:pt>
                <c:pt idx="4">
                  <c:v>2023</c:v>
                </c:pt>
                <c:pt idx="5">
                  <c:v>2024</c:v>
                </c:pt>
                <c:pt idx="6">
                  <c:v>2020</c:v>
                </c:pt>
                <c:pt idx="7">
                  <c:v>2022</c:v>
                </c:pt>
                <c:pt idx="8">
                  <c:v>2025</c:v>
                </c:pt>
                <c:pt idx="9">
                  <c:v>2021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2026</c:v>
                </c:pt>
              </c:numCache>
            </c:numRef>
          </c:cat>
          <c:val>
            <c:numRef>
              <c:f>'DashBoards de Insights'!$AH$3:$AH$16</c:f>
              <c:numCache>
                <c:formatCode>General</c:formatCode>
                <c:ptCount val="14"/>
                <c:pt idx="0">
                  <c:v>22834</c:v>
                </c:pt>
                <c:pt idx="1">
                  <c:v>20954</c:v>
                </c:pt>
                <c:pt idx="2">
                  <c:v>20852</c:v>
                </c:pt>
                <c:pt idx="3">
                  <c:v>19406</c:v>
                </c:pt>
                <c:pt idx="4">
                  <c:v>19117</c:v>
                </c:pt>
                <c:pt idx="5">
                  <c:v>19000</c:v>
                </c:pt>
                <c:pt idx="6">
                  <c:v>18947</c:v>
                </c:pt>
                <c:pt idx="7">
                  <c:v>18878</c:v>
                </c:pt>
                <c:pt idx="8">
                  <c:v>18643</c:v>
                </c:pt>
                <c:pt idx="9">
                  <c:v>18496</c:v>
                </c:pt>
                <c:pt idx="10">
                  <c:v>18043</c:v>
                </c:pt>
                <c:pt idx="11">
                  <c:v>16782</c:v>
                </c:pt>
                <c:pt idx="12">
                  <c:v>7391</c:v>
                </c:pt>
                <c:pt idx="13">
                  <c:v>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B-4A6F-9022-9E61F8E4BB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_xlchart.v2.1</cx:f>
      </cx:numDim>
    </cx:data>
  </cx:chartData>
  <cx:chart>
    <cx:title pos="t" align="ctr" overlay="0">
      <cx:tx>
        <cx:txData>
          <cx:v>Top 10 propiedades con mayor deuda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10 propiedades con mayor deuda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funnel" uniqueId="{C13392F2-811B-48AD-A5EA-F054A5090380}">
          <cx:tx>
            <cx:txData>
              <cx:f>_xlchart.v2.0</cx:f>
              <cx:v>transaction_amount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bg1"/>
                    </a:solidFill>
                  </a:defRPr>
                </a:pPr>
                <a:endParaRPr lang="es-ES" sz="12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Total de deuda por municipio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7E5EF94-B863-46AC-89B4-FD2C8C1A0A74}">
          <cx:dataId val="0"/>
          <cx:layoutPr>
            <cx:aggregation/>
          </cx:layoutPr>
          <cx:axisId val="1"/>
        </cx:series>
        <cx:series layoutId="paretoLine" ownerIdx="0" uniqueId="{9E7785BE-1928-46A1-A54A-2CAEBD55DD1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137075</xdr:colOff>
      <xdr:row>8</xdr:row>
      <xdr:rowOff>152691</xdr:rowOff>
    </xdr:from>
    <xdr:to>
      <xdr:col>11</xdr:col>
      <xdr:colOff>137075</xdr:colOff>
      <xdr:row>23</xdr:row>
      <xdr:rowOff>38391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07B65B6-F862-4CFF-94E4-38EFD08C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253105</xdr:colOff>
      <xdr:row>8</xdr:row>
      <xdr:rowOff>152154</xdr:rowOff>
    </xdr:from>
    <xdr:to>
      <xdr:col>17</xdr:col>
      <xdr:colOff>348356</xdr:colOff>
      <xdr:row>23</xdr:row>
      <xdr:rowOff>38978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F56AE7E3-77FF-4E8B-BDA5-1A98CDDE08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5105" y="1676154"/>
              <a:ext cx="4667251" cy="2744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77319</xdr:colOff>
      <xdr:row>23</xdr:row>
      <xdr:rowOff>110377</xdr:rowOff>
    </xdr:from>
    <xdr:to>
      <xdr:col>11</xdr:col>
      <xdr:colOff>235323</xdr:colOff>
      <xdr:row>37</xdr:row>
      <xdr:rowOff>186577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AAED98D0-FB0F-4854-B81B-15103C0EED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1319" y="4491877"/>
              <a:ext cx="701600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351904</xdr:colOff>
      <xdr:row>23</xdr:row>
      <xdr:rowOff>119623</xdr:rowOff>
    </xdr:from>
    <xdr:to>
      <xdr:col>17</xdr:col>
      <xdr:colOff>351904</xdr:colOff>
      <xdr:row>38</xdr:row>
      <xdr:rowOff>5323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A41B6A2-1EED-45F5-AB18-3D0370318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182218</xdr:colOff>
      <xdr:row>8</xdr:row>
      <xdr:rowOff>129417</xdr:rowOff>
    </xdr:from>
    <xdr:to>
      <xdr:col>4</xdr:col>
      <xdr:colOff>679174</xdr:colOff>
      <xdr:row>19</xdr:row>
      <xdr:rowOff>54873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FCAE973-D7FD-4D7B-BF26-F6759E0C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218" y="1653417"/>
          <a:ext cx="2020956" cy="2020956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showGridLines="0" tabSelected="1" zoomScale="145" zoomScaleNormal="145" workbookViewId="0"/>
  </sheetViews>
  <sheetFormatPr baseColWidth="10" defaultColWidth="9.140625" defaultRowHeight="15" x14ac:dyDescent="0.25"/>
  <cols>
    <col min="1" max="1" width="4" bestFit="1" customWidth="1"/>
    <col min="2" max="2" width="4.140625" bestFit="1" customWidth="1"/>
    <col min="3" max="3" width="19" bestFit="1" customWidth="1"/>
    <col min="4" max="4" width="43.42578125" bestFit="1" customWidth="1"/>
    <col min="5" max="5" width="12.28515625" bestFit="1" customWidth="1"/>
    <col min="6" max="6" width="4" bestFit="1" customWidth="1"/>
    <col min="7" max="7" width="4.140625" bestFit="1" customWidth="1"/>
    <col min="8" max="8" width="25.85546875" bestFit="1" customWidth="1"/>
    <col min="9" max="9" width="19.85546875" bestFit="1" customWidth="1"/>
  </cols>
  <sheetData>
    <row r="1" spans="2:9" ht="21.75" thickBot="1" x14ac:dyDescent="0.4">
      <c r="B1" s="34" t="s">
        <v>23</v>
      </c>
      <c r="C1" s="35"/>
      <c r="D1" s="35"/>
      <c r="E1" s="36"/>
      <c r="G1" s="37" t="s">
        <v>40</v>
      </c>
      <c r="H1" s="38"/>
      <c r="I1" s="39"/>
    </row>
    <row r="2" spans="2:9" ht="15.75" thickBot="1" x14ac:dyDescent="0.3">
      <c r="B2" s="13"/>
      <c r="C2" s="23" t="s">
        <v>20</v>
      </c>
      <c r="D2" s="23" t="s">
        <v>21</v>
      </c>
      <c r="E2" s="23" t="s">
        <v>22</v>
      </c>
      <c r="G2" s="12"/>
      <c r="H2" s="23" t="s">
        <v>38</v>
      </c>
      <c r="I2" s="24" t="s">
        <v>39</v>
      </c>
    </row>
    <row r="3" spans="2:9" x14ac:dyDescent="0.25">
      <c r="B3" s="1">
        <v>1</v>
      </c>
      <c r="C3" s="1" t="s">
        <v>0</v>
      </c>
      <c r="D3" s="11">
        <v>60537</v>
      </c>
      <c r="E3" s="3" t="s">
        <v>1</v>
      </c>
      <c r="G3" s="8">
        <v>1</v>
      </c>
      <c r="H3" s="11" t="s">
        <v>24</v>
      </c>
      <c r="I3" s="3" t="s">
        <v>25</v>
      </c>
    </row>
    <row r="4" spans="2:9" x14ac:dyDescent="0.25">
      <c r="B4" s="1">
        <v>2</v>
      </c>
      <c r="C4" s="1" t="s">
        <v>2</v>
      </c>
      <c r="D4" s="8">
        <v>10862</v>
      </c>
      <c r="E4" s="3" t="s">
        <v>3</v>
      </c>
      <c r="G4" s="8">
        <v>2</v>
      </c>
      <c r="H4" s="8" t="s">
        <v>26</v>
      </c>
      <c r="I4" s="3" t="s">
        <v>27</v>
      </c>
    </row>
    <row r="5" spans="2:9" x14ac:dyDescent="0.25">
      <c r="B5" s="1">
        <v>3</v>
      </c>
      <c r="C5" s="1" t="s">
        <v>4</v>
      </c>
      <c r="D5" s="8">
        <v>4268</v>
      </c>
      <c r="E5" s="3" t="s">
        <v>5</v>
      </c>
      <c r="G5" s="8">
        <v>3</v>
      </c>
      <c r="H5" s="8" t="s">
        <v>28</v>
      </c>
      <c r="I5" s="3" t="s">
        <v>29</v>
      </c>
    </row>
    <row r="6" spans="2:9" x14ac:dyDescent="0.25">
      <c r="B6" s="1">
        <v>4</v>
      </c>
      <c r="C6" s="1" t="s">
        <v>6</v>
      </c>
      <c r="D6" s="8">
        <v>6417</v>
      </c>
      <c r="E6" s="3" t="s">
        <v>7</v>
      </c>
      <c r="G6" s="8">
        <v>4</v>
      </c>
      <c r="H6" s="8" t="s">
        <v>26</v>
      </c>
      <c r="I6" s="3" t="s">
        <v>30</v>
      </c>
    </row>
    <row r="7" spans="2:9" x14ac:dyDescent="0.25">
      <c r="B7" s="1">
        <v>5</v>
      </c>
      <c r="C7" s="1" t="s">
        <v>8</v>
      </c>
      <c r="D7" s="8">
        <v>6276</v>
      </c>
      <c r="E7" s="3" t="s">
        <v>9</v>
      </c>
      <c r="G7" s="8">
        <v>5</v>
      </c>
      <c r="H7" s="8" t="s">
        <v>31</v>
      </c>
      <c r="I7" s="3" t="s">
        <v>32</v>
      </c>
    </row>
    <row r="8" spans="2:9" x14ac:dyDescent="0.25">
      <c r="B8" s="18" t="s">
        <v>19</v>
      </c>
      <c r="C8" s="18" t="s">
        <v>18</v>
      </c>
      <c r="D8" s="19" t="s">
        <v>19</v>
      </c>
      <c r="E8" s="20" t="s">
        <v>19</v>
      </c>
      <c r="G8" s="8">
        <v>6</v>
      </c>
      <c r="H8" s="8" t="s">
        <v>26</v>
      </c>
      <c r="I8" s="3" t="s">
        <v>33</v>
      </c>
    </row>
    <row r="9" spans="2:9" x14ac:dyDescent="0.25">
      <c r="B9" s="1">
        <v>135</v>
      </c>
      <c r="C9" s="1" t="s">
        <v>10</v>
      </c>
      <c r="D9" s="8">
        <v>7</v>
      </c>
      <c r="E9" s="3" t="s">
        <v>11</v>
      </c>
      <c r="G9" s="8">
        <v>7</v>
      </c>
      <c r="H9" s="8" t="s">
        <v>26</v>
      </c>
      <c r="I9" s="3" t="s">
        <v>34</v>
      </c>
    </row>
    <row r="10" spans="2:9" x14ac:dyDescent="0.25">
      <c r="B10" s="1">
        <v>136</v>
      </c>
      <c r="C10" s="1" t="s">
        <v>12</v>
      </c>
      <c r="D10" s="8">
        <v>10</v>
      </c>
      <c r="E10" s="3" t="s">
        <v>13</v>
      </c>
      <c r="G10" s="8">
        <v>8</v>
      </c>
      <c r="H10" s="8" t="s">
        <v>26</v>
      </c>
      <c r="I10" s="3" t="s">
        <v>35</v>
      </c>
    </row>
    <row r="11" spans="2:9" x14ac:dyDescent="0.25">
      <c r="B11" s="1">
        <v>137</v>
      </c>
      <c r="C11" s="1" t="s">
        <v>14</v>
      </c>
      <c r="D11" s="8">
        <v>2</v>
      </c>
      <c r="E11" s="3" t="s">
        <v>15</v>
      </c>
      <c r="G11" s="8">
        <v>9</v>
      </c>
      <c r="H11" s="8" t="s">
        <v>26</v>
      </c>
      <c r="I11" s="3" t="s">
        <v>35</v>
      </c>
    </row>
    <row r="12" spans="2:9" ht="15.75" thickBot="1" x14ac:dyDescent="0.3">
      <c r="B12" s="4">
        <v>138</v>
      </c>
      <c r="C12" s="4" t="s">
        <v>16</v>
      </c>
      <c r="D12" s="9">
        <v>1</v>
      </c>
      <c r="E12" s="6" t="s">
        <v>17</v>
      </c>
      <c r="G12" s="9">
        <v>10</v>
      </c>
      <c r="H12" s="9" t="s">
        <v>36</v>
      </c>
      <c r="I12" s="6" t="s">
        <v>37</v>
      </c>
    </row>
    <row r="13" spans="2:9" ht="15.75" thickBot="1" x14ac:dyDescent="0.3"/>
    <row r="14" spans="2:9" ht="21.75" thickBot="1" x14ac:dyDescent="0.4">
      <c r="B14" s="37" t="s">
        <v>50</v>
      </c>
      <c r="C14" s="38"/>
      <c r="D14" s="38"/>
      <c r="E14" s="39"/>
      <c r="G14" s="37" t="s">
        <v>49</v>
      </c>
      <c r="H14" s="38"/>
      <c r="I14" s="39"/>
    </row>
    <row r="15" spans="2:9" ht="15.75" thickBot="1" x14ac:dyDescent="0.3">
      <c r="B15" s="12"/>
      <c r="C15" s="25" t="s">
        <v>52</v>
      </c>
      <c r="D15" s="23" t="s">
        <v>53</v>
      </c>
      <c r="E15" s="24" t="s">
        <v>54</v>
      </c>
      <c r="G15" s="12"/>
      <c r="H15" s="23" t="s">
        <v>44</v>
      </c>
      <c r="I15" s="23" t="s">
        <v>45</v>
      </c>
    </row>
    <row r="16" spans="2:9" ht="15.75" thickBot="1" x14ac:dyDescent="0.3">
      <c r="B16" s="9">
        <v>1</v>
      </c>
      <c r="C16" s="10">
        <v>697380000</v>
      </c>
      <c r="D16" s="7" t="s">
        <v>51</v>
      </c>
      <c r="E16" s="6" t="s">
        <v>25</v>
      </c>
      <c r="G16" s="7">
        <v>1</v>
      </c>
      <c r="H16" s="2">
        <v>1907</v>
      </c>
      <c r="I16" s="11" t="s">
        <v>41</v>
      </c>
    </row>
    <row r="17" spans="3:9" ht="15.75" thickBot="1" x14ac:dyDescent="0.3">
      <c r="G17" s="7">
        <v>2</v>
      </c>
      <c r="H17" s="2">
        <v>1908</v>
      </c>
      <c r="I17" s="8" t="s">
        <v>42</v>
      </c>
    </row>
    <row r="18" spans="3:9" ht="21.75" thickBot="1" x14ac:dyDescent="0.4">
      <c r="C18" s="37" t="s">
        <v>81</v>
      </c>
      <c r="D18" s="38"/>
      <c r="E18" s="39"/>
      <c r="G18" s="7">
        <v>3</v>
      </c>
      <c r="H18" s="2">
        <v>1909</v>
      </c>
      <c r="I18" s="8" t="s">
        <v>42</v>
      </c>
    </row>
    <row r="19" spans="3:9" ht="15.75" thickBot="1" x14ac:dyDescent="0.3">
      <c r="C19" s="14"/>
      <c r="D19" s="23" t="s">
        <v>20</v>
      </c>
      <c r="E19" s="23" t="s">
        <v>80</v>
      </c>
      <c r="G19" s="7">
        <v>4</v>
      </c>
      <c r="H19" s="2">
        <v>1910</v>
      </c>
      <c r="I19" s="8" t="s">
        <v>43</v>
      </c>
    </row>
    <row r="20" spans="3:9" ht="15.75" thickBot="1" x14ac:dyDescent="0.3">
      <c r="C20" s="8">
        <v>1</v>
      </c>
      <c r="D20" s="2" t="s">
        <v>73</v>
      </c>
      <c r="E20" s="15">
        <v>3989.83</v>
      </c>
      <c r="G20" s="7">
        <v>5</v>
      </c>
      <c r="H20" s="2">
        <v>1911</v>
      </c>
      <c r="I20" s="8" t="s">
        <v>42</v>
      </c>
    </row>
    <row r="21" spans="3:9" ht="15.75" thickBot="1" x14ac:dyDescent="0.3">
      <c r="C21" s="8">
        <v>2</v>
      </c>
      <c r="D21" s="2" t="s">
        <v>74</v>
      </c>
      <c r="E21" s="16">
        <v>3289.55</v>
      </c>
      <c r="G21" s="21" t="s">
        <v>19</v>
      </c>
      <c r="H21" s="22" t="s">
        <v>19</v>
      </c>
      <c r="I21" s="19" t="s">
        <v>19</v>
      </c>
    </row>
    <row r="22" spans="3:9" ht="15.75" thickBot="1" x14ac:dyDescent="0.3">
      <c r="C22" s="8">
        <v>3</v>
      </c>
      <c r="D22" s="2" t="s">
        <v>75</v>
      </c>
      <c r="E22" s="16">
        <v>3274.44</v>
      </c>
      <c r="G22" s="7">
        <v>116</v>
      </c>
      <c r="H22" s="2">
        <v>2022</v>
      </c>
      <c r="I22" s="8" t="s">
        <v>46</v>
      </c>
    </row>
    <row r="23" spans="3:9" ht="15.75" thickBot="1" x14ac:dyDescent="0.3">
      <c r="C23" s="8">
        <v>4</v>
      </c>
      <c r="D23" s="2" t="s">
        <v>76</v>
      </c>
      <c r="E23" s="16">
        <v>2946.21</v>
      </c>
      <c r="G23" s="7">
        <v>117</v>
      </c>
      <c r="H23" s="2">
        <v>2023</v>
      </c>
      <c r="I23" s="8" t="s">
        <v>47</v>
      </c>
    </row>
    <row r="24" spans="3:9" ht="15.75" thickBot="1" x14ac:dyDescent="0.3">
      <c r="C24" s="8">
        <v>5</v>
      </c>
      <c r="D24" s="2" t="s">
        <v>77</v>
      </c>
      <c r="E24" s="16">
        <v>2941.41</v>
      </c>
      <c r="G24" s="7">
        <v>118</v>
      </c>
      <c r="H24" s="5">
        <v>2024</v>
      </c>
      <c r="I24" s="9" t="s">
        <v>48</v>
      </c>
    </row>
    <row r="25" spans="3:9" ht="15.75" thickBot="1" x14ac:dyDescent="0.3">
      <c r="C25" s="19" t="s">
        <v>19</v>
      </c>
      <c r="D25" s="22" t="s">
        <v>19</v>
      </c>
      <c r="E25" s="19" t="s">
        <v>19</v>
      </c>
    </row>
    <row r="26" spans="3:9" ht="21.75" thickBot="1" x14ac:dyDescent="0.4">
      <c r="C26" s="8">
        <v>134</v>
      </c>
      <c r="D26" s="2" t="s">
        <v>78</v>
      </c>
      <c r="E26" s="16">
        <v>187.88</v>
      </c>
      <c r="G26" s="37" t="s">
        <v>60</v>
      </c>
      <c r="H26" s="38"/>
      <c r="I26" s="39"/>
    </row>
    <row r="27" spans="3:9" ht="15.75" thickBot="1" x14ac:dyDescent="0.3">
      <c r="C27" s="8">
        <v>135</v>
      </c>
      <c r="D27" s="2" t="s">
        <v>16</v>
      </c>
      <c r="E27" s="16">
        <v>133.38999999999999</v>
      </c>
      <c r="G27" s="12"/>
      <c r="H27" s="23" t="s">
        <v>20</v>
      </c>
      <c r="I27" s="23" t="s">
        <v>21</v>
      </c>
    </row>
    <row r="28" spans="3:9" x14ac:dyDescent="0.25">
      <c r="C28" s="8">
        <v>136</v>
      </c>
      <c r="D28" s="2" t="s">
        <v>12</v>
      </c>
      <c r="E28" s="16">
        <v>126.81</v>
      </c>
      <c r="G28" s="8">
        <v>1</v>
      </c>
      <c r="H28" s="11" t="s">
        <v>0</v>
      </c>
      <c r="I28" s="3">
        <v>60537</v>
      </c>
    </row>
    <row r="29" spans="3:9" x14ac:dyDescent="0.25">
      <c r="C29" s="8">
        <v>137</v>
      </c>
      <c r="D29" s="2" t="s">
        <v>14</v>
      </c>
      <c r="E29" s="16">
        <v>113.99</v>
      </c>
      <c r="G29" s="8">
        <v>2</v>
      </c>
      <c r="H29" s="8" t="s">
        <v>2</v>
      </c>
      <c r="I29" s="3">
        <v>10862</v>
      </c>
    </row>
    <row r="30" spans="3:9" ht="15.75" thickBot="1" x14ac:dyDescent="0.3">
      <c r="C30" s="9">
        <v>138</v>
      </c>
      <c r="D30" s="5" t="s">
        <v>79</v>
      </c>
      <c r="E30" s="17">
        <v>98.54</v>
      </c>
      <c r="G30" s="8">
        <v>3</v>
      </c>
      <c r="H30" s="8" t="s">
        <v>55</v>
      </c>
      <c r="I30" s="3">
        <v>9775</v>
      </c>
    </row>
    <row r="31" spans="3:9" ht="15.75" thickBot="1" x14ac:dyDescent="0.3">
      <c r="G31" s="8">
        <v>4</v>
      </c>
      <c r="H31" s="8" t="s">
        <v>6</v>
      </c>
      <c r="I31" s="3">
        <v>6417</v>
      </c>
    </row>
    <row r="32" spans="3:9" ht="21.75" thickBot="1" x14ac:dyDescent="0.4">
      <c r="C32" s="37" t="s">
        <v>82</v>
      </c>
      <c r="D32" s="38"/>
      <c r="E32" s="39"/>
      <c r="G32" s="8">
        <v>5</v>
      </c>
      <c r="H32" s="8" t="s">
        <v>8</v>
      </c>
      <c r="I32" s="3">
        <v>6276</v>
      </c>
    </row>
    <row r="33" spans="3:9" ht="15.75" thickBot="1" x14ac:dyDescent="0.3">
      <c r="C33" s="12"/>
      <c r="D33" s="23" t="s">
        <v>93</v>
      </c>
      <c r="E33" s="24" t="s">
        <v>21</v>
      </c>
      <c r="G33" s="8">
        <v>6</v>
      </c>
      <c r="H33" s="8" t="s">
        <v>56</v>
      </c>
      <c r="I33" s="3">
        <v>5188</v>
      </c>
    </row>
    <row r="34" spans="3:9" x14ac:dyDescent="0.25">
      <c r="C34" s="8">
        <v>1</v>
      </c>
      <c r="D34" s="11" t="s">
        <v>83</v>
      </c>
      <c r="E34" s="3">
        <v>236668</v>
      </c>
      <c r="G34" s="8">
        <v>7</v>
      </c>
      <c r="H34" s="8" t="s">
        <v>57</v>
      </c>
      <c r="I34" s="3">
        <v>4545</v>
      </c>
    </row>
    <row r="35" spans="3:9" x14ac:dyDescent="0.25">
      <c r="C35" s="8">
        <v>2</v>
      </c>
      <c r="D35" s="8" t="s">
        <v>84</v>
      </c>
      <c r="E35" s="3">
        <v>4046</v>
      </c>
      <c r="G35" s="8">
        <v>8</v>
      </c>
      <c r="H35" s="8" t="s">
        <v>4</v>
      </c>
      <c r="I35" s="3">
        <v>4268</v>
      </c>
    </row>
    <row r="36" spans="3:9" x14ac:dyDescent="0.25">
      <c r="C36" s="8">
        <v>3</v>
      </c>
      <c r="D36" s="8" t="s">
        <v>85</v>
      </c>
      <c r="E36" s="3">
        <v>1005</v>
      </c>
      <c r="G36" s="8">
        <v>9</v>
      </c>
      <c r="H36" s="8" t="s">
        <v>58</v>
      </c>
      <c r="I36" s="3">
        <v>4017</v>
      </c>
    </row>
    <row r="37" spans="3:9" ht="15.75" thickBot="1" x14ac:dyDescent="0.3">
      <c r="C37" s="8">
        <v>4</v>
      </c>
      <c r="D37" s="8" t="s">
        <v>86</v>
      </c>
      <c r="E37" s="3">
        <v>655</v>
      </c>
      <c r="G37" s="9">
        <v>10</v>
      </c>
      <c r="H37" s="9" t="s">
        <v>59</v>
      </c>
      <c r="I37" s="6">
        <v>3934</v>
      </c>
    </row>
    <row r="38" spans="3:9" ht="15.75" thickBot="1" x14ac:dyDescent="0.3">
      <c r="C38" s="8">
        <v>5</v>
      </c>
      <c r="D38" s="8" t="s">
        <v>87</v>
      </c>
      <c r="E38" s="3">
        <v>107</v>
      </c>
    </row>
    <row r="39" spans="3:9" ht="21.75" thickBot="1" x14ac:dyDescent="0.4">
      <c r="C39" s="8">
        <v>6</v>
      </c>
      <c r="D39" s="8" t="s">
        <v>88</v>
      </c>
      <c r="E39" s="3">
        <v>79</v>
      </c>
      <c r="G39" s="42" t="s">
        <v>210</v>
      </c>
      <c r="H39" s="38"/>
      <c r="I39" s="39"/>
    </row>
    <row r="40" spans="3:9" ht="15.75" thickBot="1" x14ac:dyDescent="0.3">
      <c r="C40" s="9">
        <v>7</v>
      </c>
      <c r="D40" s="9" t="s">
        <v>89</v>
      </c>
      <c r="E40" s="6">
        <v>5</v>
      </c>
      <c r="G40" s="12"/>
      <c r="H40" s="23" t="s">
        <v>71</v>
      </c>
      <c r="I40" s="23" t="s">
        <v>72</v>
      </c>
    </row>
    <row r="41" spans="3:9" ht="15.75" thickBot="1" x14ac:dyDescent="0.3">
      <c r="G41" s="8">
        <v>1</v>
      </c>
      <c r="H41" s="11" t="s">
        <v>61</v>
      </c>
      <c r="I41" s="3">
        <v>108633</v>
      </c>
    </row>
    <row r="42" spans="3:9" ht="21.75" thickBot="1" x14ac:dyDescent="0.4">
      <c r="C42" s="34" t="s">
        <v>90</v>
      </c>
      <c r="D42" s="35"/>
      <c r="E42" s="36"/>
      <c r="G42" s="8">
        <v>2</v>
      </c>
      <c r="H42" s="8" t="s">
        <v>62</v>
      </c>
      <c r="I42" s="3">
        <v>63007</v>
      </c>
    </row>
    <row r="43" spans="3:9" ht="15.75" thickBot="1" x14ac:dyDescent="0.3">
      <c r="C43" s="13"/>
      <c r="D43" s="23" t="s">
        <v>91</v>
      </c>
      <c r="E43" s="24" t="s">
        <v>92</v>
      </c>
      <c r="G43" s="8">
        <v>3</v>
      </c>
      <c r="H43" s="8" t="s">
        <v>63</v>
      </c>
      <c r="I43" s="3">
        <v>22714</v>
      </c>
    </row>
    <row r="44" spans="3:9" x14ac:dyDescent="0.25">
      <c r="C44" s="11">
        <v>1</v>
      </c>
      <c r="D44" s="11">
        <v>2018</v>
      </c>
      <c r="E44" s="3">
        <v>22834</v>
      </c>
      <c r="G44" s="8">
        <v>4</v>
      </c>
      <c r="H44" s="8" t="s">
        <v>64</v>
      </c>
      <c r="I44" s="3">
        <v>19087</v>
      </c>
    </row>
    <row r="45" spans="3:9" x14ac:dyDescent="0.25">
      <c r="C45" s="8">
        <v>2</v>
      </c>
      <c r="D45" s="8">
        <v>2017</v>
      </c>
      <c r="E45" s="3">
        <v>20954</v>
      </c>
      <c r="G45" s="8">
        <v>5</v>
      </c>
      <c r="H45" s="8" t="s">
        <v>65</v>
      </c>
      <c r="I45" s="3">
        <v>13341</v>
      </c>
    </row>
    <row r="46" spans="3:9" x14ac:dyDescent="0.25">
      <c r="C46" s="8">
        <v>3</v>
      </c>
      <c r="D46" s="8">
        <v>2016</v>
      </c>
      <c r="E46" s="3">
        <v>20852</v>
      </c>
      <c r="G46" s="8">
        <v>6</v>
      </c>
      <c r="H46" s="8" t="s">
        <v>66</v>
      </c>
      <c r="I46" s="3">
        <v>4585</v>
      </c>
    </row>
    <row r="47" spans="3:9" x14ac:dyDescent="0.25">
      <c r="C47" s="8">
        <v>4</v>
      </c>
      <c r="D47" s="8">
        <v>2019</v>
      </c>
      <c r="E47" s="3">
        <v>19406</v>
      </c>
      <c r="G47" s="8">
        <v>7</v>
      </c>
      <c r="H47" s="8" t="s">
        <v>67</v>
      </c>
      <c r="I47" s="3">
        <v>3512</v>
      </c>
    </row>
    <row r="48" spans="3:9" x14ac:dyDescent="0.25">
      <c r="C48" s="8">
        <v>5</v>
      </c>
      <c r="D48" s="8">
        <v>2023</v>
      </c>
      <c r="E48" s="3">
        <v>19117</v>
      </c>
      <c r="G48" s="8">
        <v>8</v>
      </c>
      <c r="H48" s="8" t="s">
        <v>68</v>
      </c>
      <c r="I48" s="3">
        <v>3118</v>
      </c>
    </row>
    <row r="49" spans="3:9" x14ac:dyDescent="0.25">
      <c r="C49" s="8">
        <v>6</v>
      </c>
      <c r="D49" s="8">
        <v>2024</v>
      </c>
      <c r="E49" s="3">
        <v>19000</v>
      </c>
      <c r="G49" s="8">
        <v>9</v>
      </c>
      <c r="H49" s="8" t="s">
        <v>69</v>
      </c>
      <c r="I49" s="3">
        <v>2887</v>
      </c>
    </row>
    <row r="50" spans="3:9" ht="15.75" thickBot="1" x14ac:dyDescent="0.3">
      <c r="C50" s="8">
        <v>7</v>
      </c>
      <c r="D50" s="8">
        <v>2020</v>
      </c>
      <c r="E50" s="3">
        <v>18947</v>
      </c>
      <c r="G50" s="9">
        <v>10</v>
      </c>
      <c r="H50" s="9" t="s">
        <v>70</v>
      </c>
      <c r="I50" s="6">
        <v>1681</v>
      </c>
    </row>
    <row r="51" spans="3:9" x14ac:dyDescent="0.25">
      <c r="C51" s="8">
        <v>8</v>
      </c>
      <c r="D51" s="8">
        <v>2022</v>
      </c>
      <c r="E51" s="3">
        <v>18878</v>
      </c>
    </row>
    <row r="52" spans="3:9" x14ac:dyDescent="0.25">
      <c r="C52" s="8">
        <v>9</v>
      </c>
      <c r="D52" s="8">
        <v>2025</v>
      </c>
      <c r="E52" s="3">
        <v>18643</v>
      </c>
    </row>
    <row r="53" spans="3:9" x14ac:dyDescent="0.25">
      <c r="C53" s="8">
        <v>10</v>
      </c>
      <c r="D53" s="8">
        <v>2021</v>
      </c>
      <c r="E53" s="3">
        <v>18496</v>
      </c>
    </row>
    <row r="54" spans="3:9" x14ac:dyDescent="0.25">
      <c r="C54" s="8">
        <v>11</v>
      </c>
      <c r="D54" s="8">
        <v>2015</v>
      </c>
      <c r="E54" s="3">
        <v>18043</v>
      </c>
    </row>
    <row r="55" spans="3:9" x14ac:dyDescent="0.25">
      <c r="C55" s="8">
        <v>12</v>
      </c>
      <c r="D55" s="8">
        <v>2014</v>
      </c>
      <c r="E55" s="3">
        <v>16782</v>
      </c>
    </row>
    <row r="56" spans="3:9" x14ac:dyDescent="0.25">
      <c r="C56" s="8">
        <v>13</v>
      </c>
      <c r="D56" s="8">
        <v>2013</v>
      </c>
      <c r="E56" s="3">
        <v>7391</v>
      </c>
    </row>
    <row r="57" spans="3:9" ht="15.75" thickBot="1" x14ac:dyDescent="0.3">
      <c r="C57" s="9">
        <v>14</v>
      </c>
      <c r="D57" s="9">
        <v>2026</v>
      </c>
      <c r="E57" s="6">
        <v>3222</v>
      </c>
    </row>
  </sheetData>
  <mergeCells count="9">
    <mergeCell ref="C42:E42"/>
    <mergeCell ref="B1:E1"/>
    <mergeCell ref="G1:I1"/>
    <mergeCell ref="G14:I14"/>
    <mergeCell ref="B14:E14"/>
    <mergeCell ref="G26:I26"/>
    <mergeCell ref="G39:I39"/>
    <mergeCell ref="C18:E18"/>
    <mergeCell ref="C32:E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A1A7-64C1-4FF8-B815-52B716144407}">
  <dimension ref="A1:AH140"/>
  <sheetViews>
    <sheetView showGridLines="0" topLeftCell="A8" zoomScale="115" zoomScaleNormal="115" workbookViewId="0">
      <selection activeCell="AD13" sqref="AD13"/>
    </sheetView>
  </sheetViews>
  <sheetFormatPr baseColWidth="10" defaultRowHeight="15" x14ac:dyDescent="0.25"/>
  <cols>
    <col min="23" max="23" width="14.7109375" bestFit="1" customWidth="1"/>
    <col min="24" max="24" width="18.5703125" bestFit="1" customWidth="1"/>
    <col min="26" max="26" width="17.5703125" bestFit="1" customWidth="1"/>
    <col min="27" max="27" width="19.85546875" bestFit="1" customWidth="1"/>
    <col min="29" max="29" width="22.140625" bestFit="1" customWidth="1"/>
    <col min="30" max="30" width="17.28515625" bestFit="1" customWidth="1"/>
    <col min="31" max="31" width="11.7109375" bestFit="1" customWidth="1"/>
  </cols>
  <sheetData>
    <row r="1" spans="1:34" x14ac:dyDescent="0.25">
      <c r="A1" s="26"/>
      <c r="W1" s="41" t="s">
        <v>49</v>
      </c>
      <c r="X1" s="41"/>
      <c r="Y1" s="27"/>
      <c r="Z1" s="41" t="s">
        <v>40</v>
      </c>
      <c r="AA1" s="41"/>
      <c r="AB1" s="27"/>
      <c r="AC1" s="41" t="s">
        <v>23</v>
      </c>
      <c r="AD1" s="41"/>
      <c r="AE1" s="41"/>
      <c r="AG1" s="40" t="s">
        <v>90</v>
      </c>
      <c r="AH1" s="40"/>
    </row>
    <row r="2" spans="1:34" x14ac:dyDescent="0.25">
      <c r="W2" s="30" t="s">
        <v>44</v>
      </c>
      <c r="X2" s="30" t="s">
        <v>45</v>
      </c>
      <c r="Y2" s="27"/>
      <c r="Z2" s="30" t="s">
        <v>38</v>
      </c>
      <c r="AA2" s="30" t="s">
        <v>39</v>
      </c>
      <c r="AB2" s="27"/>
      <c r="AC2" s="30" t="s">
        <v>20</v>
      </c>
      <c r="AD2" s="30" t="s">
        <v>22</v>
      </c>
      <c r="AE2" s="30" t="s">
        <v>21</v>
      </c>
      <c r="AG2" s="31" t="s">
        <v>91</v>
      </c>
      <c r="AH2" s="31" t="s">
        <v>92</v>
      </c>
    </row>
    <row r="3" spans="1:34" x14ac:dyDescent="0.25">
      <c r="W3" s="28">
        <v>1907</v>
      </c>
      <c r="X3" s="29">
        <v>19.53</v>
      </c>
      <c r="Y3" s="27"/>
      <c r="Z3" s="27" t="s">
        <v>24</v>
      </c>
      <c r="AA3" s="29">
        <v>205452.74</v>
      </c>
      <c r="AB3" s="27"/>
      <c r="AC3" s="27" t="s">
        <v>0</v>
      </c>
      <c r="AD3" s="33">
        <v>26915486.710000001</v>
      </c>
      <c r="AE3" s="27">
        <v>60537</v>
      </c>
      <c r="AG3" s="27">
        <v>2018</v>
      </c>
      <c r="AH3" s="27">
        <v>22834</v>
      </c>
    </row>
    <row r="4" spans="1:34" x14ac:dyDescent="0.25">
      <c r="W4" s="28">
        <v>1908</v>
      </c>
      <c r="X4" s="29">
        <v>8.25</v>
      </c>
      <c r="Y4" s="27"/>
      <c r="Z4" s="27" t="s">
        <v>26</v>
      </c>
      <c r="AA4" s="29">
        <v>193885.1</v>
      </c>
      <c r="AB4" s="27"/>
      <c r="AC4" s="27" t="s">
        <v>2</v>
      </c>
      <c r="AD4" s="33">
        <v>9712094.8300000001</v>
      </c>
      <c r="AE4" s="27">
        <v>10862</v>
      </c>
      <c r="AG4" s="27">
        <v>2017</v>
      </c>
      <c r="AH4" s="27">
        <v>20954</v>
      </c>
    </row>
    <row r="5" spans="1:34" x14ac:dyDescent="0.25">
      <c r="B5" s="32"/>
      <c r="C5" s="32"/>
      <c r="D5" s="32"/>
      <c r="E5" s="32"/>
      <c r="F5" s="32"/>
      <c r="G5" s="32"/>
      <c r="H5" s="32"/>
      <c r="I5" s="2"/>
      <c r="J5" s="32"/>
      <c r="K5" s="32"/>
      <c r="L5" s="32"/>
      <c r="M5" s="32"/>
      <c r="N5" s="32"/>
      <c r="O5" s="32"/>
      <c r="P5" s="2"/>
      <c r="W5" s="28">
        <v>1909</v>
      </c>
      <c r="X5" s="29">
        <v>8.25</v>
      </c>
      <c r="Y5" s="27"/>
      <c r="Z5" s="27" t="s">
        <v>28</v>
      </c>
      <c r="AA5" s="29">
        <v>186451.13</v>
      </c>
      <c r="AB5" s="27"/>
      <c r="AC5" s="27" t="s">
        <v>4</v>
      </c>
      <c r="AD5" s="33">
        <v>5020204.3600000003</v>
      </c>
      <c r="AE5" s="27">
        <v>4268</v>
      </c>
      <c r="AG5" s="27">
        <v>2016</v>
      </c>
      <c r="AH5" s="27">
        <v>20852</v>
      </c>
    </row>
    <row r="6" spans="1:3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W6" s="28">
        <v>1910</v>
      </c>
      <c r="X6" s="29">
        <v>9.75</v>
      </c>
      <c r="Y6" s="27"/>
      <c r="Z6" s="27" t="s">
        <v>26</v>
      </c>
      <c r="AA6" s="29">
        <v>176055.75</v>
      </c>
      <c r="AB6" s="27"/>
      <c r="AC6" s="27" t="s">
        <v>6</v>
      </c>
      <c r="AD6" s="33">
        <v>4624606.2300000004</v>
      </c>
      <c r="AE6" s="27">
        <v>6417</v>
      </c>
      <c r="AG6" s="27">
        <v>2019</v>
      </c>
      <c r="AH6" s="27">
        <v>19406</v>
      </c>
    </row>
    <row r="7" spans="1:34" x14ac:dyDescent="0.25">
      <c r="W7" s="28">
        <v>1911</v>
      </c>
      <c r="X7" s="29">
        <v>8.25</v>
      </c>
      <c r="Y7" s="27"/>
      <c r="Z7" s="27" t="s">
        <v>31</v>
      </c>
      <c r="AA7" s="29">
        <v>136860.99</v>
      </c>
      <c r="AB7" s="27"/>
      <c r="AC7" s="27" t="s">
        <v>8</v>
      </c>
      <c r="AD7" s="33">
        <v>4279804.83</v>
      </c>
      <c r="AE7" s="27">
        <v>6276</v>
      </c>
      <c r="AG7" s="27">
        <v>2023</v>
      </c>
      <c r="AH7" s="27">
        <v>19117</v>
      </c>
    </row>
    <row r="8" spans="1:34" x14ac:dyDescent="0.25">
      <c r="W8" s="28">
        <v>1912</v>
      </c>
      <c r="X8" s="29">
        <v>9.75</v>
      </c>
      <c r="Y8" s="27"/>
      <c r="Z8" s="27" t="s">
        <v>26</v>
      </c>
      <c r="AA8" s="29">
        <v>123025.5</v>
      </c>
      <c r="AB8" s="27"/>
      <c r="AC8" s="27" t="s">
        <v>94</v>
      </c>
      <c r="AD8" s="33">
        <v>3764573</v>
      </c>
      <c r="AE8" s="27">
        <v>1549</v>
      </c>
      <c r="AG8" s="27">
        <v>2024</v>
      </c>
      <c r="AH8" s="27">
        <v>19000</v>
      </c>
    </row>
    <row r="9" spans="1:34" x14ac:dyDescent="0.25">
      <c r="W9" s="28">
        <v>1913</v>
      </c>
      <c r="X9" s="29">
        <v>8.94</v>
      </c>
      <c r="Y9" s="27"/>
      <c r="Z9" s="27" t="s">
        <v>26</v>
      </c>
      <c r="AA9" s="29">
        <v>119095.47</v>
      </c>
      <c r="AB9" s="27"/>
      <c r="AC9" s="27" t="s">
        <v>95</v>
      </c>
      <c r="AD9" s="33">
        <v>3729608.08</v>
      </c>
      <c r="AE9" s="27">
        <v>1354</v>
      </c>
      <c r="AG9" s="27">
        <v>2020</v>
      </c>
      <c r="AH9" s="27">
        <v>18947</v>
      </c>
    </row>
    <row r="10" spans="1:34" x14ac:dyDescent="0.25">
      <c r="W10" s="28">
        <v>1914</v>
      </c>
      <c r="X10" s="29">
        <v>9.6199999999999992</v>
      </c>
      <c r="Y10" s="27"/>
      <c r="Z10" s="27" t="s">
        <v>26</v>
      </c>
      <c r="AA10" s="29">
        <v>115175.58</v>
      </c>
      <c r="AB10" s="27"/>
      <c r="AC10" s="27" t="s">
        <v>59</v>
      </c>
      <c r="AD10" s="33">
        <v>3665003.86</v>
      </c>
      <c r="AE10" s="27">
        <v>3934</v>
      </c>
      <c r="AG10" s="27">
        <v>2022</v>
      </c>
      <c r="AH10" s="27">
        <v>18878</v>
      </c>
    </row>
    <row r="11" spans="1:34" x14ac:dyDescent="0.25">
      <c r="W11" s="28">
        <v>1915</v>
      </c>
      <c r="X11" s="29">
        <v>8.25</v>
      </c>
      <c r="Y11" s="27"/>
      <c r="Z11" s="27" t="s">
        <v>26</v>
      </c>
      <c r="AA11" s="29">
        <v>115175.58</v>
      </c>
      <c r="AB11" s="27"/>
      <c r="AC11" s="27" t="s">
        <v>57</v>
      </c>
      <c r="AD11" s="33">
        <v>3566774</v>
      </c>
      <c r="AE11" s="27">
        <v>4545</v>
      </c>
      <c r="AG11" s="27">
        <v>2025</v>
      </c>
      <c r="AH11" s="27">
        <v>18643</v>
      </c>
    </row>
    <row r="12" spans="1:34" x14ac:dyDescent="0.25">
      <c r="W12" s="28">
        <v>1916</v>
      </c>
      <c r="X12" s="29">
        <v>43.52</v>
      </c>
      <c r="Y12" s="27"/>
      <c r="Z12" s="27" t="s">
        <v>36</v>
      </c>
      <c r="AA12" s="29">
        <v>103585.56</v>
      </c>
      <c r="AB12" s="27"/>
      <c r="AC12" s="27" t="s">
        <v>56</v>
      </c>
      <c r="AD12" s="33">
        <v>3334372.8</v>
      </c>
      <c r="AE12" s="27">
        <v>5188</v>
      </c>
      <c r="AG12" s="27">
        <v>2021</v>
      </c>
      <c r="AH12" s="27">
        <v>18496</v>
      </c>
    </row>
    <row r="13" spans="1:34" x14ac:dyDescent="0.25">
      <c r="W13" s="28">
        <v>1917</v>
      </c>
      <c r="X13" s="29">
        <v>55.9</v>
      </c>
      <c r="Y13" s="27"/>
      <c r="Z13" s="27"/>
      <c r="AA13" s="27"/>
      <c r="AB13" s="27"/>
      <c r="AC13" s="27" t="s">
        <v>96</v>
      </c>
      <c r="AD13" s="33">
        <v>3306601.14</v>
      </c>
      <c r="AE13" s="27">
        <v>3500</v>
      </c>
      <c r="AG13" s="27">
        <v>2015</v>
      </c>
      <c r="AH13" s="27">
        <v>18043</v>
      </c>
    </row>
    <row r="14" spans="1:34" x14ac:dyDescent="0.25">
      <c r="W14" s="28">
        <v>1918</v>
      </c>
      <c r="X14" s="29">
        <v>55.47</v>
      </c>
      <c r="Y14" s="27"/>
      <c r="Z14" s="27"/>
      <c r="AA14" s="27"/>
      <c r="AB14" s="27"/>
      <c r="AC14" s="27" t="s">
        <v>55</v>
      </c>
      <c r="AD14" s="33">
        <v>3220823.54</v>
      </c>
      <c r="AE14" s="27">
        <v>9775</v>
      </c>
      <c r="AG14" s="27">
        <v>2014</v>
      </c>
      <c r="AH14" s="27">
        <v>16782</v>
      </c>
    </row>
    <row r="15" spans="1:34" x14ac:dyDescent="0.25">
      <c r="W15" s="28">
        <v>1919</v>
      </c>
      <c r="X15" s="29">
        <v>41.02</v>
      </c>
      <c r="Y15" s="27"/>
      <c r="Z15" s="27"/>
      <c r="AA15" s="27"/>
      <c r="AB15" s="27"/>
      <c r="AC15" s="27" t="s">
        <v>97</v>
      </c>
      <c r="AD15" s="33">
        <v>2963710.38</v>
      </c>
      <c r="AE15" s="27">
        <v>2310</v>
      </c>
      <c r="AG15" s="27">
        <v>2013</v>
      </c>
      <c r="AH15" s="27">
        <v>7391</v>
      </c>
    </row>
    <row r="16" spans="1:34" x14ac:dyDescent="0.25">
      <c r="W16" s="28">
        <v>1920</v>
      </c>
      <c r="X16" s="29">
        <v>27.64</v>
      </c>
      <c r="Y16" s="27"/>
      <c r="Z16" s="27"/>
      <c r="AA16" s="27"/>
      <c r="AB16" s="27"/>
      <c r="AC16" s="27" t="s">
        <v>98</v>
      </c>
      <c r="AD16" s="33">
        <v>2616856.5299999998</v>
      </c>
      <c r="AE16" s="27">
        <v>3019</v>
      </c>
      <c r="AG16" s="27">
        <v>2026</v>
      </c>
      <c r="AH16" s="27">
        <v>3222</v>
      </c>
    </row>
    <row r="17" spans="23:31" x14ac:dyDescent="0.25">
      <c r="W17" s="28">
        <v>1921</v>
      </c>
      <c r="X17" s="29">
        <v>58.17</v>
      </c>
      <c r="Y17" s="27"/>
      <c r="Z17" s="27"/>
      <c r="AA17" s="27"/>
      <c r="AB17" s="27"/>
      <c r="AC17" s="27" t="s">
        <v>99</v>
      </c>
      <c r="AD17" s="33">
        <v>2615767.37</v>
      </c>
      <c r="AE17" s="27">
        <v>2162</v>
      </c>
    </row>
    <row r="18" spans="23:31" x14ac:dyDescent="0.25">
      <c r="W18" s="28">
        <v>1922</v>
      </c>
      <c r="X18" s="29">
        <v>27.31</v>
      </c>
      <c r="Y18" s="27"/>
      <c r="Z18" s="27"/>
      <c r="AA18" s="27"/>
      <c r="AB18" s="27"/>
      <c r="AC18" s="27" t="s">
        <v>100</v>
      </c>
      <c r="AD18" s="33">
        <v>2207389.5099999998</v>
      </c>
      <c r="AE18" s="27">
        <v>2756</v>
      </c>
    </row>
    <row r="19" spans="23:31" x14ac:dyDescent="0.25">
      <c r="W19" s="28">
        <v>1923</v>
      </c>
      <c r="X19" s="29">
        <v>87.33</v>
      </c>
      <c r="Y19" s="27"/>
      <c r="Z19" s="27"/>
      <c r="AA19" s="27"/>
      <c r="AB19" s="27"/>
      <c r="AC19" s="27" t="s">
        <v>101</v>
      </c>
      <c r="AD19" s="33">
        <v>2173219.0499999998</v>
      </c>
      <c r="AE19" s="27">
        <v>3048</v>
      </c>
    </row>
    <row r="20" spans="23:31" x14ac:dyDescent="0.25">
      <c r="W20" s="28">
        <v>1924</v>
      </c>
      <c r="X20" s="29">
        <v>16.850000000000001</v>
      </c>
      <c r="Y20" s="27"/>
      <c r="Z20" s="27"/>
      <c r="AA20" s="27"/>
      <c r="AB20" s="27"/>
      <c r="AC20" s="27" t="s">
        <v>102</v>
      </c>
      <c r="AD20" s="33">
        <v>2141820.04</v>
      </c>
      <c r="AE20" s="27">
        <v>2643</v>
      </c>
    </row>
    <row r="21" spans="23:31" x14ac:dyDescent="0.25">
      <c r="W21" s="28">
        <v>1925</v>
      </c>
      <c r="X21" s="29">
        <v>27.46</v>
      </c>
      <c r="Y21" s="27"/>
      <c r="Z21" s="27"/>
      <c r="AA21" s="27"/>
      <c r="AB21" s="27"/>
      <c r="AC21" s="27" t="s">
        <v>103</v>
      </c>
      <c r="AD21" s="33">
        <v>1966664.44</v>
      </c>
      <c r="AE21" s="27">
        <v>2799</v>
      </c>
    </row>
    <row r="22" spans="23:31" x14ac:dyDescent="0.25">
      <c r="W22" s="28">
        <v>1926</v>
      </c>
      <c r="X22" s="29">
        <v>31.06</v>
      </c>
      <c r="Y22" s="27"/>
      <c r="Z22" s="27"/>
      <c r="AA22" s="27"/>
      <c r="AB22" s="27"/>
      <c r="AC22" s="27" t="s">
        <v>104</v>
      </c>
      <c r="AD22" s="33">
        <v>1853330.78</v>
      </c>
      <c r="AE22" s="27">
        <v>3027</v>
      </c>
    </row>
    <row r="23" spans="23:31" x14ac:dyDescent="0.25">
      <c r="W23" s="28">
        <v>1927</v>
      </c>
      <c r="X23" s="29">
        <v>60.89</v>
      </c>
      <c r="Y23" s="27"/>
      <c r="Z23" s="27"/>
      <c r="AA23" s="27"/>
      <c r="AB23" s="27"/>
      <c r="AC23" s="27" t="s">
        <v>105</v>
      </c>
      <c r="AD23" s="33">
        <v>1745889.88</v>
      </c>
      <c r="AE23" s="27">
        <v>1886</v>
      </c>
    </row>
    <row r="24" spans="23:31" x14ac:dyDescent="0.25">
      <c r="W24" s="28">
        <v>1928</v>
      </c>
      <c r="X24" s="29">
        <v>126.5</v>
      </c>
      <c r="Y24" s="27"/>
      <c r="Z24" s="27"/>
      <c r="AA24" s="27"/>
      <c r="AB24" s="27"/>
      <c r="AC24" s="27" t="s">
        <v>106</v>
      </c>
      <c r="AD24" s="33">
        <v>1743408.02</v>
      </c>
      <c r="AE24" s="27">
        <v>2877</v>
      </c>
    </row>
    <row r="25" spans="23:31" x14ac:dyDescent="0.25">
      <c r="W25" s="28">
        <v>1929</v>
      </c>
      <c r="X25" s="29">
        <v>126.64</v>
      </c>
      <c r="Y25" s="27"/>
      <c r="Z25" s="27"/>
      <c r="AA25" s="27"/>
      <c r="AB25" s="27"/>
      <c r="AC25" s="27" t="s">
        <v>107</v>
      </c>
      <c r="AD25" s="33">
        <v>1732139.57</v>
      </c>
      <c r="AE25" s="27">
        <v>978</v>
      </c>
    </row>
    <row r="26" spans="23:31" x14ac:dyDescent="0.25">
      <c r="W26" s="28">
        <v>1930</v>
      </c>
      <c r="X26" s="29">
        <v>132.79</v>
      </c>
      <c r="Y26" s="27"/>
      <c r="Z26" s="27"/>
      <c r="AA26" s="27"/>
      <c r="AB26" s="27"/>
      <c r="AC26" s="27" t="s">
        <v>108</v>
      </c>
      <c r="AD26" s="33">
        <v>1729264.67</v>
      </c>
      <c r="AE26" s="27">
        <v>908</v>
      </c>
    </row>
    <row r="27" spans="23:31" x14ac:dyDescent="0.25">
      <c r="W27" s="28">
        <v>1931</v>
      </c>
      <c r="X27" s="29">
        <v>251.31</v>
      </c>
      <c r="Y27" s="27"/>
      <c r="Z27" s="27"/>
      <c r="AA27" s="27"/>
      <c r="AB27" s="27"/>
      <c r="AC27" s="27" t="s">
        <v>109</v>
      </c>
      <c r="AD27" s="33">
        <v>1625945.34</v>
      </c>
      <c r="AE27" s="27">
        <v>1499</v>
      </c>
    </row>
    <row r="28" spans="23:31" x14ac:dyDescent="0.25">
      <c r="W28" s="28">
        <v>1932</v>
      </c>
      <c r="X28" s="29">
        <v>183.23</v>
      </c>
      <c r="Y28" s="27"/>
      <c r="Z28" s="27"/>
      <c r="AA28" s="27"/>
      <c r="AB28" s="27"/>
      <c r="AC28" s="27" t="s">
        <v>110</v>
      </c>
      <c r="AD28" s="33">
        <v>1599740.59</v>
      </c>
      <c r="AE28" s="27">
        <v>2699</v>
      </c>
    </row>
    <row r="29" spans="23:31" x14ac:dyDescent="0.25">
      <c r="W29" s="28">
        <v>1933</v>
      </c>
      <c r="X29" s="29">
        <v>222.2</v>
      </c>
      <c r="Y29" s="27"/>
      <c r="Z29" s="27"/>
      <c r="AA29" s="27"/>
      <c r="AB29" s="27"/>
      <c r="AC29" s="27" t="s">
        <v>111</v>
      </c>
      <c r="AD29" s="33">
        <v>1584781.93</v>
      </c>
      <c r="AE29" s="27">
        <v>1803</v>
      </c>
    </row>
    <row r="30" spans="23:31" x14ac:dyDescent="0.25">
      <c r="W30" s="28">
        <v>1934</v>
      </c>
      <c r="X30" s="29">
        <v>269.77</v>
      </c>
      <c r="Y30" s="27"/>
      <c r="Z30" s="27"/>
      <c r="AA30" s="27"/>
      <c r="AB30" s="27"/>
      <c r="AC30" s="27" t="s">
        <v>112</v>
      </c>
      <c r="AD30" s="33">
        <v>1568242.06</v>
      </c>
      <c r="AE30" s="27">
        <v>2687</v>
      </c>
    </row>
    <row r="31" spans="23:31" x14ac:dyDescent="0.25">
      <c r="W31" s="28">
        <v>1935</v>
      </c>
      <c r="X31" s="29">
        <v>223.21</v>
      </c>
      <c r="Y31" s="27"/>
      <c r="Z31" s="27"/>
      <c r="AA31" s="27"/>
      <c r="AB31" s="27"/>
      <c r="AC31" s="27" t="s">
        <v>113</v>
      </c>
      <c r="AD31" s="33">
        <v>1549645.83</v>
      </c>
      <c r="AE31" s="27">
        <v>2913</v>
      </c>
    </row>
    <row r="32" spans="23:31" x14ac:dyDescent="0.25">
      <c r="W32" s="28">
        <v>1936</v>
      </c>
      <c r="X32" s="29">
        <v>172.81</v>
      </c>
      <c r="Y32" s="27"/>
      <c r="Z32" s="27"/>
      <c r="AA32" s="27"/>
      <c r="AB32" s="27"/>
      <c r="AC32" s="27" t="s">
        <v>114</v>
      </c>
      <c r="AD32" s="33">
        <v>1449388.33</v>
      </c>
      <c r="AE32" s="27">
        <v>1530</v>
      </c>
    </row>
    <row r="33" spans="23:31" x14ac:dyDescent="0.25">
      <c r="W33" s="28">
        <v>1937</v>
      </c>
      <c r="X33" s="29">
        <v>131.83000000000001</v>
      </c>
      <c r="Y33" s="27"/>
      <c r="Z33" s="27"/>
      <c r="AA33" s="27"/>
      <c r="AB33" s="27"/>
      <c r="AC33" s="27" t="s">
        <v>115</v>
      </c>
      <c r="AD33" s="33">
        <v>1435836.5</v>
      </c>
      <c r="AE33" s="27">
        <v>975</v>
      </c>
    </row>
    <row r="34" spans="23:31" x14ac:dyDescent="0.25">
      <c r="W34" s="28">
        <v>1938</v>
      </c>
      <c r="X34" s="29">
        <v>253.76</v>
      </c>
      <c r="Y34" s="27"/>
      <c r="Z34" s="27"/>
      <c r="AA34" s="27"/>
      <c r="AB34" s="27"/>
      <c r="AC34" s="27" t="s">
        <v>116</v>
      </c>
      <c r="AD34" s="33">
        <v>1430252.69</v>
      </c>
      <c r="AE34" s="27">
        <v>3231</v>
      </c>
    </row>
    <row r="35" spans="23:31" x14ac:dyDescent="0.25">
      <c r="W35" s="28">
        <v>1939</v>
      </c>
      <c r="X35" s="29">
        <v>229.7</v>
      </c>
      <c r="Y35" s="27"/>
      <c r="Z35" s="27"/>
      <c r="AA35" s="27"/>
      <c r="AB35" s="27"/>
      <c r="AC35" s="27" t="s">
        <v>117</v>
      </c>
      <c r="AD35" s="33">
        <v>1427479.5</v>
      </c>
      <c r="AE35" s="27">
        <v>1223</v>
      </c>
    </row>
    <row r="36" spans="23:31" x14ac:dyDescent="0.25">
      <c r="W36" s="28">
        <v>1940</v>
      </c>
      <c r="X36" s="29">
        <v>225.45</v>
      </c>
      <c r="Y36" s="27"/>
      <c r="Z36" s="27"/>
      <c r="AA36" s="27"/>
      <c r="AB36" s="27"/>
      <c r="AC36" s="27" t="s">
        <v>118</v>
      </c>
      <c r="AD36" s="33">
        <v>1425572.75</v>
      </c>
      <c r="AE36" s="27">
        <v>1054</v>
      </c>
    </row>
    <row r="37" spans="23:31" x14ac:dyDescent="0.25">
      <c r="W37" s="28">
        <v>1941</v>
      </c>
      <c r="X37" s="29">
        <v>357.16</v>
      </c>
      <c r="Y37" s="27"/>
      <c r="Z37" s="27"/>
      <c r="AA37" s="27"/>
      <c r="AB37" s="27"/>
      <c r="AC37" s="27" t="s">
        <v>119</v>
      </c>
      <c r="AD37" s="33">
        <v>1383227.62</v>
      </c>
      <c r="AE37" s="27">
        <v>1314</v>
      </c>
    </row>
    <row r="38" spans="23:31" x14ac:dyDescent="0.25">
      <c r="W38" s="28">
        <v>1942</v>
      </c>
      <c r="X38" s="29">
        <v>348.48</v>
      </c>
      <c r="Y38" s="27"/>
      <c r="Z38" s="27"/>
      <c r="AA38" s="27"/>
      <c r="AB38" s="27"/>
      <c r="AC38" s="27" t="s">
        <v>120</v>
      </c>
      <c r="AD38" s="33">
        <v>1382239.26</v>
      </c>
      <c r="AE38" s="27">
        <v>1039</v>
      </c>
    </row>
    <row r="39" spans="23:31" x14ac:dyDescent="0.25">
      <c r="W39" s="28">
        <v>1943</v>
      </c>
      <c r="X39" s="29">
        <v>419.22</v>
      </c>
      <c r="Y39" s="27"/>
      <c r="Z39" s="27"/>
      <c r="AA39" s="27"/>
      <c r="AB39" s="27"/>
      <c r="AC39" s="27" t="s">
        <v>121</v>
      </c>
      <c r="AD39" s="33">
        <v>1367315.94</v>
      </c>
      <c r="AE39" s="27">
        <v>2022</v>
      </c>
    </row>
    <row r="40" spans="23:31" x14ac:dyDescent="0.25">
      <c r="W40" s="28">
        <v>1944</v>
      </c>
      <c r="X40" s="29">
        <v>471.05</v>
      </c>
      <c r="Y40" s="27"/>
      <c r="Z40" s="27"/>
      <c r="AA40" s="27"/>
      <c r="AB40" s="27"/>
      <c r="AC40" s="27" t="s">
        <v>122</v>
      </c>
      <c r="AD40" s="33">
        <v>1365939.98</v>
      </c>
      <c r="AE40" s="27">
        <v>1159</v>
      </c>
    </row>
    <row r="41" spans="23:31" x14ac:dyDescent="0.25">
      <c r="W41" s="28">
        <v>1945</v>
      </c>
      <c r="X41" s="29">
        <v>410.32</v>
      </c>
      <c r="Y41" s="27"/>
      <c r="Z41" s="27"/>
      <c r="AA41" s="27"/>
      <c r="AB41" s="27"/>
      <c r="AC41" s="27" t="s">
        <v>123</v>
      </c>
      <c r="AD41" s="33">
        <v>1257997.52</v>
      </c>
      <c r="AE41" s="27">
        <v>1534</v>
      </c>
    </row>
    <row r="42" spans="23:31" x14ac:dyDescent="0.25">
      <c r="W42" s="28">
        <v>1946</v>
      </c>
      <c r="X42" s="29">
        <v>443.5</v>
      </c>
      <c r="Y42" s="27"/>
      <c r="Z42" s="27"/>
      <c r="AA42" s="27"/>
      <c r="AB42" s="27"/>
      <c r="AC42" s="27" t="s">
        <v>124</v>
      </c>
      <c r="AD42" s="33">
        <v>1236498.69</v>
      </c>
      <c r="AE42" s="27">
        <v>1601</v>
      </c>
    </row>
    <row r="43" spans="23:31" x14ac:dyDescent="0.25">
      <c r="W43" s="28">
        <v>1947</v>
      </c>
      <c r="X43" s="29">
        <v>607.07000000000005</v>
      </c>
      <c r="Y43" s="27"/>
      <c r="Z43" s="27"/>
      <c r="AA43" s="27"/>
      <c r="AB43" s="27"/>
      <c r="AC43" s="27" t="s">
        <v>125</v>
      </c>
      <c r="AD43" s="33">
        <v>1182665.0900000001</v>
      </c>
      <c r="AE43" s="27">
        <v>938</v>
      </c>
    </row>
    <row r="44" spans="23:31" x14ac:dyDescent="0.25">
      <c r="W44" s="28">
        <v>1948</v>
      </c>
      <c r="X44" s="29">
        <v>460.84</v>
      </c>
      <c r="Y44" s="27"/>
      <c r="Z44" s="27"/>
      <c r="AA44" s="27"/>
      <c r="AB44" s="27"/>
      <c r="AC44" s="27" t="s">
        <v>126</v>
      </c>
      <c r="AD44" s="33">
        <v>1180921.08</v>
      </c>
      <c r="AE44" s="27">
        <v>3074</v>
      </c>
    </row>
    <row r="45" spans="23:31" x14ac:dyDescent="0.25">
      <c r="W45" s="28">
        <v>1949</v>
      </c>
      <c r="X45" s="29">
        <v>551.39</v>
      </c>
      <c r="Y45" s="27"/>
      <c r="Z45" s="27"/>
      <c r="AA45" s="27"/>
      <c r="AB45" s="27"/>
      <c r="AC45" s="27" t="s">
        <v>127</v>
      </c>
      <c r="AD45" s="33">
        <v>1162511.5900000001</v>
      </c>
      <c r="AE45" s="27">
        <v>2033</v>
      </c>
    </row>
    <row r="46" spans="23:31" x14ac:dyDescent="0.25">
      <c r="W46" s="28">
        <v>1950</v>
      </c>
      <c r="X46" s="29">
        <v>673.15</v>
      </c>
      <c r="Y46" s="27"/>
      <c r="Z46" s="27"/>
      <c r="AA46" s="27"/>
      <c r="AB46" s="27"/>
      <c r="AC46" s="27" t="s">
        <v>128</v>
      </c>
      <c r="AD46" s="33">
        <v>1121194.68</v>
      </c>
      <c r="AE46" s="27">
        <v>860</v>
      </c>
    </row>
    <row r="47" spans="23:31" x14ac:dyDescent="0.25">
      <c r="W47" s="28">
        <v>1951</v>
      </c>
      <c r="X47" s="29">
        <v>639.97</v>
      </c>
      <c r="Y47" s="27"/>
      <c r="Z47" s="27"/>
      <c r="AA47" s="27"/>
      <c r="AB47" s="27"/>
      <c r="AC47" s="27" t="s">
        <v>129</v>
      </c>
      <c r="AD47" s="33">
        <v>1120893.5</v>
      </c>
      <c r="AE47" s="27">
        <v>1942</v>
      </c>
    </row>
    <row r="48" spans="23:31" x14ac:dyDescent="0.25">
      <c r="W48" s="28">
        <v>1952</v>
      </c>
      <c r="X48" s="29">
        <v>651.38</v>
      </c>
      <c r="Y48" s="27"/>
      <c r="Z48" s="27"/>
      <c r="AA48" s="27"/>
      <c r="AB48" s="27"/>
      <c r="AC48" s="27" t="s">
        <v>130</v>
      </c>
      <c r="AD48" s="33">
        <v>1097853.96</v>
      </c>
      <c r="AE48" s="27">
        <v>1997</v>
      </c>
    </row>
    <row r="49" spans="23:31" x14ac:dyDescent="0.25">
      <c r="W49" s="28">
        <v>1953</v>
      </c>
      <c r="X49" s="29">
        <v>823.36</v>
      </c>
      <c r="Y49" s="27"/>
      <c r="Z49" s="27"/>
      <c r="AA49" s="27"/>
      <c r="AB49" s="27"/>
      <c r="AC49" s="27" t="s">
        <v>131</v>
      </c>
      <c r="AD49" s="33">
        <v>1046536.99</v>
      </c>
      <c r="AE49" s="27">
        <v>1202</v>
      </c>
    </row>
    <row r="50" spans="23:31" x14ac:dyDescent="0.25">
      <c r="W50" s="28">
        <v>1954</v>
      </c>
      <c r="X50" s="29">
        <v>686.19</v>
      </c>
      <c r="Y50" s="27"/>
      <c r="Z50" s="27"/>
      <c r="AA50" s="27"/>
      <c r="AB50" s="27"/>
      <c r="AC50" s="27" t="s">
        <v>132</v>
      </c>
      <c r="AD50" s="33">
        <v>1039226.98</v>
      </c>
      <c r="AE50" s="27">
        <v>1929</v>
      </c>
    </row>
    <row r="51" spans="23:31" x14ac:dyDescent="0.25">
      <c r="W51" s="28">
        <v>1955</v>
      </c>
      <c r="X51" s="29">
        <v>678.99</v>
      </c>
      <c r="Y51" s="27"/>
      <c r="Z51" s="27"/>
      <c r="AA51" s="27"/>
      <c r="AB51" s="27"/>
      <c r="AC51" s="27" t="s">
        <v>75</v>
      </c>
      <c r="AD51" s="33">
        <v>1037996.5</v>
      </c>
      <c r="AE51" s="27">
        <v>317</v>
      </c>
    </row>
    <row r="52" spans="23:31" x14ac:dyDescent="0.25">
      <c r="W52" s="28">
        <v>1956</v>
      </c>
      <c r="X52" s="29">
        <v>792.83</v>
      </c>
      <c r="Y52" s="27"/>
      <c r="Z52" s="27"/>
      <c r="AA52" s="27"/>
      <c r="AB52" s="27"/>
      <c r="AC52" s="27" t="s">
        <v>133</v>
      </c>
      <c r="AD52" s="33">
        <v>1033511.46</v>
      </c>
      <c r="AE52" s="27">
        <v>820</v>
      </c>
    </row>
    <row r="53" spans="23:31" x14ac:dyDescent="0.25">
      <c r="W53" s="28">
        <v>1957</v>
      </c>
      <c r="X53" s="29">
        <v>481.77</v>
      </c>
      <c r="Y53" s="27"/>
      <c r="Z53" s="27"/>
      <c r="AA53" s="27"/>
      <c r="AB53" s="27"/>
      <c r="AC53" s="27" t="s">
        <v>134</v>
      </c>
      <c r="AD53" s="33">
        <v>1032411.27</v>
      </c>
      <c r="AE53" s="27">
        <v>1100</v>
      </c>
    </row>
    <row r="54" spans="23:31" x14ac:dyDescent="0.25">
      <c r="W54" s="28">
        <v>1958</v>
      </c>
      <c r="X54" s="29">
        <v>550.38</v>
      </c>
      <c r="Y54" s="27"/>
      <c r="Z54" s="27"/>
      <c r="AA54" s="27"/>
      <c r="AB54" s="27"/>
      <c r="AC54" s="27" t="s">
        <v>135</v>
      </c>
      <c r="AD54" s="33">
        <v>972975.29</v>
      </c>
      <c r="AE54" s="27">
        <v>1130</v>
      </c>
    </row>
    <row r="55" spans="23:31" x14ac:dyDescent="0.25">
      <c r="W55" s="28">
        <v>1959</v>
      </c>
      <c r="X55" s="29">
        <v>573.28</v>
      </c>
      <c r="Y55" s="27"/>
      <c r="Z55" s="27"/>
      <c r="AA55" s="27"/>
      <c r="AB55" s="27"/>
      <c r="AC55" s="27" t="s">
        <v>58</v>
      </c>
      <c r="AD55" s="33">
        <v>950297.83</v>
      </c>
      <c r="AE55" s="27">
        <v>4017</v>
      </c>
    </row>
    <row r="56" spans="23:31" x14ac:dyDescent="0.25">
      <c r="W56" s="28">
        <v>1960</v>
      </c>
      <c r="X56" s="29">
        <v>723.57</v>
      </c>
      <c r="Y56" s="27"/>
      <c r="Z56" s="27"/>
      <c r="AA56" s="27"/>
      <c r="AB56" s="27"/>
      <c r="AC56" s="27" t="s">
        <v>136</v>
      </c>
      <c r="AD56" s="33">
        <v>919938.78</v>
      </c>
      <c r="AE56" s="27">
        <v>888</v>
      </c>
    </row>
    <row r="57" spans="23:31" x14ac:dyDescent="0.25">
      <c r="W57" s="28">
        <v>1961</v>
      </c>
      <c r="X57" s="29">
        <v>737.9</v>
      </c>
      <c r="Y57" s="27"/>
      <c r="Z57" s="27"/>
      <c r="AA57" s="27"/>
      <c r="AB57" s="27"/>
      <c r="AC57" s="27" t="s">
        <v>137</v>
      </c>
      <c r="AD57" s="33">
        <v>911591.43</v>
      </c>
      <c r="AE57" s="27">
        <v>2024</v>
      </c>
    </row>
    <row r="58" spans="23:31" x14ac:dyDescent="0.25">
      <c r="W58" s="28">
        <v>1962</v>
      </c>
      <c r="X58" s="29">
        <v>956.92</v>
      </c>
      <c r="Y58" s="27"/>
      <c r="Z58" s="27"/>
      <c r="AA58" s="27"/>
      <c r="AB58" s="27"/>
      <c r="AC58" s="27" t="s">
        <v>138</v>
      </c>
      <c r="AD58" s="33">
        <v>896605.32</v>
      </c>
      <c r="AE58" s="27">
        <v>1887</v>
      </c>
    </row>
    <row r="59" spans="23:31" x14ac:dyDescent="0.25">
      <c r="W59" s="28">
        <v>1963</v>
      </c>
      <c r="X59" s="29">
        <v>1013.84</v>
      </c>
      <c r="Y59" s="27"/>
      <c r="Z59" s="27"/>
      <c r="AA59" s="27"/>
      <c r="AB59" s="27"/>
      <c r="AC59" s="27" t="s">
        <v>139</v>
      </c>
      <c r="AD59" s="33">
        <v>867691.7</v>
      </c>
      <c r="AE59" s="27">
        <v>1223</v>
      </c>
    </row>
    <row r="60" spans="23:31" x14ac:dyDescent="0.25">
      <c r="W60" s="28">
        <v>1964</v>
      </c>
      <c r="X60" s="29">
        <v>1180.57</v>
      </c>
      <c r="Y60" s="27"/>
      <c r="Z60" s="27"/>
      <c r="AA60" s="27"/>
      <c r="AB60" s="27"/>
      <c r="AC60" s="27" t="s">
        <v>140</v>
      </c>
      <c r="AD60" s="33">
        <v>817368.56</v>
      </c>
      <c r="AE60" s="27">
        <v>1319</v>
      </c>
    </row>
    <row r="61" spans="23:31" x14ac:dyDescent="0.25">
      <c r="W61" s="28">
        <v>1965</v>
      </c>
      <c r="X61" s="29">
        <v>1072.6199999999999</v>
      </c>
      <c r="Y61" s="27"/>
      <c r="Z61" s="27"/>
      <c r="AA61" s="27"/>
      <c r="AB61" s="27"/>
      <c r="AC61" s="27" t="s">
        <v>141</v>
      </c>
      <c r="AD61" s="33">
        <v>804766.88</v>
      </c>
      <c r="AE61" s="27">
        <v>398</v>
      </c>
    </row>
    <row r="62" spans="23:31" x14ac:dyDescent="0.25">
      <c r="W62" s="28">
        <v>1966</v>
      </c>
      <c r="X62" s="29">
        <v>1339.4</v>
      </c>
      <c r="Y62" s="27"/>
      <c r="Z62" s="27"/>
      <c r="AA62" s="27"/>
      <c r="AB62" s="27"/>
      <c r="AC62" s="27" t="s">
        <v>142</v>
      </c>
      <c r="AD62" s="33">
        <v>794814.8</v>
      </c>
      <c r="AE62" s="27">
        <v>411</v>
      </c>
    </row>
    <row r="63" spans="23:31" x14ac:dyDescent="0.25">
      <c r="W63" s="28">
        <v>1967</v>
      </c>
      <c r="X63" s="29">
        <v>1184.83</v>
      </c>
      <c r="Y63" s="27"/>
      <c r="Z63" s="27"/>
      <c r="AA63" s="27"/>
      <c r="AB63" s="27"/>
      <c r="AC63" s="27" t="s">
        <v>143</v>
      </c>
      <c r="AD63" s="33">
        <v>794115.52</v>
      </c>
      <c r="AE63" s="27">
        <v>314</v>
      </c>
    </row>
    <row r="64" spans="23:31" x14ac:dyDescent="0.25">
      <c r="W64" s="28">
        <v>1968</v>
      </c>
      <c r="X64" s="29">
        <v>1470.77</v>
      </c>
      <c r="Y64" s="27"/>
      <c r="Z64" s="27"/>
      <c r="AA64" s="27"/>
      <c r="AB64" s="27"/>
      <c r="AC64" s="27" t="s">
        <v>144</v>
      </c>
      <c r="AD64" s="33">
        <v>788913.85</v>
      </c>
      <c r="AE64" s="27">
        <v>1174</v>
      </c>
    </row>
    <row r="65" spans="23:31" x14ac:dyDescent="0.25">
      <c r="W65" s="28">
        <v>1969</v>
      </c>
      <c r="X65" s="29">
        <v>1864.99</v>
      </c>
      <c r="Y65" s="27"/>
      <c r="Z65" s="27"/>
      <c r="AA65" s="27"/>
      <c r="AB65" s="27"/>
      <c r="AC65" s="27" t="s">
        <v>145</v>
      </c>
      <c r="AD65" s="33">
        <v>769256.25</v>
      </c>
      <c r="AE65" s="27">
        <v>711</v>
      </c>
    </row>
    <row r="66" spans="23:31" x14ac:dyDescent="0.25">
      <c r="W66" s="28">
        <v>1970</v>
      </c>
      <c r="X66" s="29">
        <v>3294.98</v>
      </c>
      <c r="Y66" s="27"/>
      <c r="Z66" s="27"/>
      <c r="AA66" s="27"/>
      <c r="AB66" s="27"/>
      <c r="AC66" s="27" t="s">
        <v>146</v>
      </c>
      <c r="AD66" s="33">
        <v>746045.33</v>
      </c>
      <c r="AE66" s="27">
        <v>1225</v>
      </c>
    </row>
    <row r="67" spans="23:31" x14ac:dyDescent="0.25">
      <c r="W67" s="28">
        <v>1971</v>
      </c>
      <c r="X67" s="29">
        <v>3971.23</v>
      </c>
      <c r="Y67" s="27"/>
      <c r="Z67" s="27"/>
      <c r="AA67" s="27"/>
      <c r="AB67" s="27"/>
      <c r="AC67" s="27" t="s">
        <v>147</v>
      </c>
      <c r="AD67" s="33">
        <v>743033.52</v>
      </c>
      <c r="AE67" s="27">
        <v>748</v>
      </c>
    </row>
    <row r="68" spans="23:31" x14ac:dyDescent="0.25">
      <c r="W68" s="28">
        <v>1972</v>
      </c>
      <c r="X68" s="29">
        <v>4082.49</v>
      </c>
      <c r="Y68" s="27"/>
      <c r="Z68" s="27"/>
      <c r="AA68" s="27"/>
      <c r="AB68" s="27"/>
      <c r="AC68" s="27" t="s">
        <v>148</v>
      </c>
      <c r="AD68" s="33">
        <v>722104.14</v>
      </c>
      <c r="AE68" s="27">
        <v>425</v>
      </c>
    </row>
    <row r="69" spans="23:31" x14ac:dyDescent="0.25">
      <c r="W69" s="28">
        <v>1973</v>
      </c>
      <c r="X69" s="29">
        <v>3882.15</v>
      </c>
      <c r="Y69" s="27"/>
      <c r="Z69" s="27"/>
      <c r="AA69" s="27"/>
      <c r="AB69" s="27"/>
      <c r="AC69" s="27" t="s">
        <v>149</v>
      </c>
      <c r="AD69" s="33">
        <v>716229.25</v>
      </c>
      <c r="AE69" s="27">
        <v>2015</v>
      </c>
    </row>
    <row r="70" spans="23:31" x14ac:dyDescent="0.25">
      <c r="W70" s="28">
        <v>1974</v>
      </c>
      <c r="X70" s="29">
        <v>4092.36</v>
      </c>
      <c r="Y70" s="27"/>
      <c r="Z70" s="27"/>
      <c r="AA70" s="27"/>
      <c r="AB70" s="27"/>
      <c r="AC70" s="27" t="s">
        <v>150</v>
      </c>
      <c r="AD70" s="33">
        <v>694919.43</v>
      </c>
      <c r="AE70" s="27">
        <v>1083</v>
      </c>
    </row>
    <row r="71" spans="23:31" x14ac:dyDescent="0.25">
      <c r="W71" s="28">
        <v>1975</v>
      </c>
      <c r="X71" s="29">
        <v>4641.4399999999996</v>
      </c>
      <c r="Y71" s="27"/>
      <c r="Z71" s="27"/>
      <c r="AA71" s="27"/>
      <c r="AB71" s="27"/>
      <c r="AC71" s="27" t="s">
        <v>151</v>
      </c>
      <c r="AD71" s="33">
        <v>692994.22</v>
      </c>
      <c r="AE71" s="27">
        <v>1429</v>
      </c>
    </row>
    <row r="72" spans="23:31" x14ac:dyDescent="0.25">
      <c r="W72" s="28">
        <v>1976</v>
      </c>
      <c r="X72" s="29">
        <v>14319.21</v>
      </c>
      <c r="Y72" s="27"/>
      <c r="Z72" s="27"/>
      <c r="AA72" s="27"/>
      <c r="AB72" s="27"/>
      <c r="AC72" s="27" t="s">
        <v>152</v>
      </c>
      <c r="AD72" s="33">
        <v>689794.63</v>
      </c>
      <c r="AE72" s="27">
        <v>468</v>
      </c>
    </row>
    <row r="73" spans="23:31" x14ac:dyDescent="0.25">
      <c r="W73" s="28">
        <v>1977</v>
      </c>
      <c r="X73" s="29">
        <v>7672.71</v>
      </c>
      <c r="Y73" s="27"/>
      <c r="Z73" s="27"/>
      <c r="AA73" s="27"/>
      <c r="AB73" s="27"/>
      <c r="AC73" s="27" t="s">
        <v>153</v>
      </c>
      <c r="AD73" s="33">
        <v>669884.47</v>
      </c>
      <c r="AE73" s="27">
        <v>1754</v>
      </c>
    </row>
    <row r="74" spans="23:31" x14ac:dyDescent="0.25">
      <c r="W74" s="28">
        <v>1978</v>
      </c>
      <c r="X74" s="29">
        <v>7911.26</v>
      </c>
      <c r="Y74" s="27"/>
      <c r="Z74" s="27"/>
      <c r="AA74" s="27"/>
      <c r="AB74" s="27"/>
      <c r="AC74" s="27" t="s">
        <v>154</v>
      </c>
      <c r="AD74" s="33">
        <v>666738.93000000005</v>
      </c>
      <c r="AE74" s="27">
        <v>602</v>
      </c>
    </row>
    <row r="75" spans="23:31" x14ac:dyDescent="0.25">
      <c r="W75" s="28">
        <v>1979</v>
      </c>
      <c r="X75" s="29">
        <v>8642.42</v>
      </c>
      <c r="Y75" s="27"/>
      <c r="Z75" s="27"/>
      <c r="AA75" s="27"/>
      <c r="AB75" s="27"/>
      <c r="AC75" s="27" t="s">
        <v>155</v>
      </c>
      <c r="AD75" s="33">
        <v>614843.68999999994</v>
      </c>
      <c r="AE75" s="27">
        <v>1243</v>
      </c>
    </row>
    <row r="76" spans="23:31" x14ac:dyDescent="0.25">
      <c r="W76" s="28">
        <v>1980</v>
      </c>
      <c r="X76" s="29">
        <v>11140.93</v>
      </c>
      <c r="Y76" s="27"/>
      <c r="Z76" s="27"/>
      <c r="AA76" s="27"/>
      <c r="AB76" s="27"/>
      <c r="AC76" s="27" t="s">
        <v>156</v>
      </c>
      <c r="AD76" s="33">
        <v>568428.97</v>
      </c>
      <c r="AE76" s="27">
        <v>320</v>
      </c>
    </row>
    <row r="77" spans="23:31" x14ac:dyDescent="0.25">
      <c r="W77" s="28">
        <v>1981</v>
      </c>
      <c r="X77" s="29">
        <v>11461.22</v>
      </c>
      <c r="Y77" s="27"/>
      <c r="Z77" s="27"/>
      <c r="AA77" s="27"/>
      <c r="AB77" s="27"/>
      <c r="AC77" s="27" t="s">
        <v>157</v>
      </c>
      <c r="AD77" s="33">
        <v>558000.04</v>
      </c>
      <c r="AE77" s="27">
        <v>2188</v>
      </c>
    </row>
    <row r="78" spans="23:31" x14ac:dyDescent="0.25">
      <c r="W78" s="28">
        <v>1982</v>
      </c>
      <c r="X78" s="29">
        <v>13181.89</v>
      </c>
      <c r="Y78" s="27"/>
      <c r="Z78" s="27"/>
      <c r="AA78" s="27"/>
      <c r="AB78" s="27"/>
      <c r="AC78" s="27" t="s">
        <v>158</v>
      </c>
      <c r="AD78" s="33">
        <v>546113.97</v>
      </c>
      <c r="AE78" s="27">
        <v>712</v>
      </c>
    </row>
    <row r="79" spans="23:31" x14ac:dyDescent="0.25">
      <c r="W79" s="28">
        <v>1983</v>
      </c>
      <c r="X79" s="29">
        <v>12325.14</v>
      </c>
      <c r="Y79" s="27"/>
      <c r="Z79" s="27"/>
      <c r="AA79" s="27"/>
      <c r="AB79" s="27"/>
      <c r="AC79" s="27" t="s">
        <v>159</v>
      </c>
      <c r="AD79" s="33">
        <v>545432.02</v>
      </c>
      <c r="AE79" s="27">
        <v>759</v>
      </c>
    </row>
    <row r="80" spans="23:31" x14ac:dyDescent="0.25">
      <c r="W80" s="28">
        <v>1984</v>
      </c>
      <c r="X80" s="29">
        <v>15212.99</v>
      </c>
      <c r="Y80" s="27"/>
      <c r="Z80" s="27"/>
      <c r="AA80" s="27"/>
      <c r="AB80" s="27"/>
      <c r="AC80" s="27" t="s">
        <v>160</v>
      </c>
      <c r="AD80" s="33">
        <v>541980.94999999995</v>
      </c>
      <c r="AE80" s="27">
        <v>227</v>
      </c>
    </row>
    <row r="81" spans="23:31" x14ac:dyDescent="0.25">
      <c r="W81" s="28">
        <v>1985</v>
      </c>
      <c r="X81" s="29">
        <v>98510.22</v>
      </c>
      <c r="Y81" s="27"/>
      <c r="Z81" s="27"/>
      <c r="AA81" s="27"/>
      <c r="AB81" s="27"/>
      <c r="AC81" s="27" t="s">
        <v>161</v>
      </c>
      <c r="AD81" s="33">
        <v>515546</v>
      </c>
      <c r="AE81" s="27">
        <v>1193</v>
      </c>
    </row>
    <row r="82" spans="23:31" x14ac:dyDescent="0.25">
      <c r="W82" s="28">
        <v>1986</v>
      </c>
      <c r="X82" s="29">
        <v>16061.56</v>
      </c>
      <c r="Y82" s="27"/>
      <c r="Z82" s="27"/>
      <c r="AA82" s="27"/>
      <c r="AB82" s="27"/>
      <c r="AC82" s="27" t="s">
        <v>162</v>
      </c>
      <c r="AD82" s="33">
        <v>514340.49</v>
      </c>
      <c r="AE82" s="27">
        <v>278</v>
      </c>
    </row>
    <row r="83" spans="23:31" x14ac:dyDescent="0.25">
      <c r="W83" s="28">
        <v>1987</v>
      </c>
      <c r="X83" s="29">
        <v>15065.69</v>
      </c>
      <c r="Y83" s="27"/>
      <c r="Z83" s="27"/>
      <c r="AA83" s="27"/>
      <c r="AB83" s="27"/>
      <c r="AC83" s="27" t="s">
        <v>163</v>
      </c>
      <c r="AD83" s="33">
        <v>486131.02</v>
      </c>
      <c r="AE83" s="27">
        <v>765</v>
      </c>
    </row>
    <row r="84" spans="23:31" x14ac:dyDescent="0.25">
      <c r="W84" s="28">
        <v>1988</v>
      </c>
      <c r="X84" s="29">
        <v>16635.009999999998</v>
      </c>
      <c r="Y84" s="27"/>
      <c r="Z84" s="27"/>
      <c r="AA84" s="27"/>
      <c r="AB84" s="27"/>
      <c r="AC84" s="27" t="s">
        <v>164</v>
      </c>
      <c r="AD84" s="33">
        <v>476453.71</v>
      </c>
      <c r="AE84" s="27">
        <v>789</v>
      </c>
    </row>
    <row r="85" spans="23:31" x14ac:dyDescent="0.25">
      <c r="W85" s="28">
        <v>1989</v>
      </c>
      <c r="X85" s="29">
        <v>29707.08</v>
      </c>
      <c r="Y85" s="27"/>
      <c r="Z85" s="27"/>
      <c r="AA85" s="27"/>
      <c r="AB85" s="27"/>
      <c r="AC85" s="27" t="s">
        <v>165</v>
      </c>
      <c r="AD85" s="33">
        <v>464386.17</v>
      </c>
      <c r="AE85" s="27">
        <v>920</v>
      </c>
    </row>
    <row r="86" spans="23:31" x14ac:dyDescent="0.25">
      <c r="W86" s="28">
        <v>1990</v>
      </c>
      <c r="X86" s="29">
        <v>30787.74</v>
      </c>
      <c r="Y86" s="27"/>
      <c r="Z86" s="27"/>
      <c r="AA86" s="27"/>
      <c r="AB86" s="27"/>
      <c r="AC86" s="27" t="s">
        <v>166</v>
      </c>
      <c r="AD86" s="33">
        <v>456795.27</v>
      </c>
      <c r="AE86" s="27">
        <v>847</v>
      </c>
    </row>
    <row r="87" spans="23:31" x14ac:dyDescent="0.25">
      <c r="W87" s="28">
        <v>1991</v>
      </c>
      <c r="X87" s="29">
        <v>55100.24</v>
      </c>
      <c r="Y87" s="27"/>
      <c r="Z87" s="27"/>
      <c r="AA87" s="27"/>
      <c r="AB87" s="27"/>
      <c r="AC87" s="27" t="s">
        <v>167</v>
      </c>
      <c r="AD87" s="33">
        <v>448566.39</v>
      </c>
      <c r="AE87" s="27">
        <v>429</v>
      </c>
    </row>
    <row r="88" spans="23:31" x14ac:dyDescent="0.25">
      <c r="W88" s="28">
        <v>1992</v>
      </c>
      <c r="X88" s="29">
        <v>96456.71</v>
      </c>
      <c r="Y88" s="27"/>
      <c r="Z88" s="27"/>
      <c r="AA88" s="27"/>
      <c r="AB88" s="27"/>
      <c r="AC88" s="27" t="s">
        <v>168</v>
      </c>
      <c r="AD88" s="33">
        <v>445232.22</v>
      </c>
      <c r="AE88" s="27">
        <v>381</v>
      </c>
    </row>
    <row r="89" spans="23:31" x14ac:dyDescent="0.25">
      <c r="W89" s="28">
        <v>1993</v>
      </c>
      <c r="X89" s="29">
        <v>179210.87</v>
      </c>
      <c r="Y89" s="27"/>
      <c r="Z89" s="27"/>
      <c r="AA89" s="27"/>
      <c r="AB89" s="27"/>
      <c r="AC89" s="27" t="s">
        <v>169</v>
      </c>
      <c r="AD89" s="33">
        <v>400342.83</v>
      </c>
      <c r="AE89" s="27">
        <v>700</v>
      </c>
    </row>
    <row r="90" spans="23:31" x14ac:dyDescent="0.25">
      <c r="W90" s="28">
        <v>1994</v>
      </c>
      <c r="X90" s="29">
        <v>323489.09999999998</v>
      </c>
      <c r="Y90" s="27"/>
      <c r="Z90" s="27"/>
      <c r="AA90" s="27"/>
      <c r="AB90" s="27"/>
      <c r="AC90" s="27" t="s">
        <v>170</v>
      </c>
      <c r="AD90" s="33">
        <v>392433.16</v>
      </c>
      <c r="AE90" s="27">
        <v>365</v>
      </c>
    </row>
    <row r="91" spans="23:31" x14ac:dyDescent="0.25">
      <c r="W91" s="28">
        <v>1995</v>
      </c>
      <c r="X91" s="29">
        <v>382348.94</v>
      </c>
      <c r="Y91" s="27"/>
      <c r="Z91" s="27"/>
      <c r="AA91" s="27"/>
      <c r="AB91" s="27"/>
      <c r="AC91" s="27" t="s">
        <v>171</v>
      </c>
      <c r="AD91" s="33">
        <v>386766.43</v>
      </c>
      <c r="AE91" s="27">
        <v>229</v>
      </c>
    </row>
    <row r="92" spans="23:31" x14ac:dyDescent="0.25">
      <c r="W92" s="28">
        <v>1996</v>
      </c>
      <c r="X92" s="29">
        <v>387661.05</v>
      </c>
      <c r="Y92" s="27"/>
      <c r="Z92" s="27"/>
      <c r="AA92" s="27"/>
      <c r="AB92" s="27"/>
      <c r="AC92" s="27" t="s">
        <v>172</v>
      </c>
      <c r="AD92" s="33">
        <v>362710.7</v>
      </c>
      <c r="AE92" s="27">
        <v>746</v>
      </c>
    </row>
    <row r="93" spans="23:31" x14ac:dyDescent="0.25">
      <c r="W93" s="28">
        <v>1997</v>
      </c>
      <c r="X93" s="29">
        <v>599871.96</v>
      </c>
      <c r="Y93" s="27"/>
      <c r="Z93" s="27"/>
      <c r="AA93" s="27"/>
      <c r="AB93" s="27"/>
      <c r="AC93" s="27" t="s">
        <v>173</v>
      </c>
      <c r="AD93" s="33">
        <v>359640.86</v>
      </c>
      <c r="AE93" s="27">
        <v>562</v>
      </c>
    </row>
    <row r="94" spans="23:31" x14ac:dyDescent="0.25">
      <c r="W94" s="28">
        <v>1998</v>
      </c>
      <c r="X94" s="29">
        <v>484108.73</v>
      </c>
      <c r="Y94" s="27"/>
      <c r="Z94" s="27"/>
      <c r="AA94" s="27"/>
      <c r="AB94" s="27"/>
      <c r="AC94" s="27" t="s">
        <v>174</v>
      </c>
      <c r="AD94" s="33">
        <v>341586.31</v>
      </c>
      <c r="AE94" s="27">
        <v>737</v>
      </c>
    </row>
    <row r="95" spans="23:31" x14ac:dyDescent="0.25">
      <c r="W95" s="28">
        <v>1999</v>
      </c>
      <c r="X95" s="29">
        <v>517453.31</v>
      </c>
      <c r="Y95" s="27"/>
      <c r="Z95" s="27"/>
      <c r="AA95" s="27"/>
      <c r="AB95" s="27"/>
      <c r="AC95" s="27" t="s">
        <v>175</v>
      </c>
      <c r="AD95" s="33">
        <v>337470.91</v>
      </c>
      <c r="AE95" s="27">
        <v>772</v>
      </c>
    </row>
    <row r="96" spans="23:31" x14ac:dyDescent="0.25">
      <c r="W96" s="28">
        <v>2000</v>
      </c>
      <c r="X96" s="29">
        <v>651114.62</v>
      </c>
      <c r="Y96" s="27"/>
      <c r="Z96" s="27"/>
      <c r="AA96" s="27"/>
      <c r="AB96" s="27"/>
      <c r="AC96" s="27" t="s">
        <v>176</v>
      </c>
      <c r="AD96" s="33">
        <v>335963.58</v>
      </c>
      <c r="AE96" s="27">
        <v>346</v>
      </c>
    </row>
    <row r="97" spans="23:31" x14ac:dyDescent="0.25">
      <c r="W97" s="28">
        <v>2001</v>
      </c>
      <c r="X97" s="29">
        <v>962986.28</v>
      </c>
      <c r="Y97" s="27"/>
      <c r="Z97" s="27"/>
      <c r="AA97" s="27"/>
      <c r="AB97" s="27"/>
      <c r="AC97" s="27" t="s">
        <v>177</v>
      </c>
      <c r="AD97" s="33">
        <v>328322.96999999997</v>
      </c>
      <c r="AE97" s="27">
        <v>592</v>
      </c>
    </row>
    <row r="98" spans="23:31" x14ac:dyDescent="0.25">
      <c r="W98" s="28">
        <v>2002</v>
      </c>
      <c r="X98" s="29">
        <v>1214444.93</v>
      </c>
      <c r="Y98" s="27"/>
      <c r="Z98" s="27"/>
      <c r="AA98" s="27"/>
      <c r="AB98" s="27"/>
      <c r="AC98" s="27" t="s">
        <v>178</v>
      </c>
      <c r="AD98" s="33">
        <v>316277.86</v>
      </c>
      <c r="AE98" s="27">
        <v>448</v>
      </c>
    </row>
    <row r="99" spans="23:31" x14ac:dyDescent="0.25">
      <c r="W99" s="28">
        <v>2003</v>
      </c>
      <c r="X99" s="29">
        <v>1520941.02</v>
      </c>
      <c r="Y99" s="27"/>
      <c r="Z99" s="27"/>
      <c r="AA99" s="27"/>
      <c r="AB99" s="27"/>
      <c r="AC99" s="27" t="s">
        <v>179</v>
      </c>
      <c r="AD99" s="33">
        <v>310672.07</v>
      </c>
      <c r="AE99" s="27">
        <v>510</v>
      </c>
    </row>
    <row r="100" spans="23:31" x14ac:dyDescent="0.25">
      <c r="W100" s="28">
        <v>2004</v>
      </c>
      <c r="X100" s="29">
        <v>1826514.1</v>
      </c>
      <c r="Y100" s="27"/>
      <c r="Z100" s="27"/>
      <c r="AA100" s="27"/>
      <c r="AB100" s="27"/>
      <c r="AC100" s="27" t="s">
        <v>180</v>
      </c>
      <c r="AD100" s="33">
        <v>299343.26</v>
      </c>
      <c r="AE100" s="27">
        <v>874</v>
      </c>
    </row>
    <row r="101" spans="23:31" x14ac:dyDescent="0.25">
      <c r="W101" s="28">
        <v>2005</v>
      </c>
      <c r="X101" s="29">
        <v>2173336.9</v>
      </c>
      <c r="Y101" s="27"/>
      <c r="Z101" s="27"/>
      <c r="AA101" s="27"/>
      <c r="AB101" s="27"/>
      <c r="AC101" s="27" t="s">
        <v>181</v>
      </c>
      <c r="AD101" s="33">
        <v>293171.73</v>
      </c>
      <c r="AE101" s="27">
        <v>271</v>
      </c>
    </row>
    <row r="102" spans="23:31" x14ac:dyDescent="0.25">
      <c r="W102" s="28">
        <v>2006</v>
      </c>
      <c r="X102" s="29">
        <v>3236301.1</v>
      </c>
      <c r="Y102" s="27"/>
      <c r="Z102" s="27"/>
      <c r="AA102" s="27"/>
      <c r="AB102" s="27"/>
      <c r="AC102" s="27" t="s">
        <v>182</v>
      </c>
      <c r="AD102" s="33">
        <v>284724.65999999997</v>
      </c>
      <c r="AE102" s="27">
        <v>420</v>
      </c>
    </row>
    <row r="103" spans="23:31" x14ac:dyDescent="0.25">
      <c r="W103" s="28">
        <v>2007</v>
      </c>
      <c r="X103" s="29">
        <v>4161534.18</v>
      </c>
      <c r="Y103" s="27"/>
      <c r="Z103" s="27"/>
      <c r="AA103" s="27"/>
      <c r="AB103" s="27"/>
      <c r="AC103" s="27" t="s">
        <v>183</v>
      </c>
      <c r="AD103" s="33">
        <v>282538.61</v>
      </c>
      <c r="AE103" s="27">
        <v>298</v>
      </c>
    </row>
    <row r="104" spans="23:31" x14ac:dyDescent="0.25">
      <c r="W104" s="28">
        <v>2008</v>
      </c>
      <c r="X104" s="29">
        <v>4842007.46</v>
      </c>
      <c r="Y104" s="27"/>
      <c r="Z104" s="27"/>
      <c r="AA104" s="27"/>
      <c r="AB104" s="27"/>
      <c r="AC104" s="27" t="s">
        <v>184</v>
      </c>
      <c r="AD104" s="33">
        <v>278295.03000000003</v>
      </c>
      <c r="AE104" s="27">
        <v>482</v>
      </c>
    </row>
    <row r="105" spans="23:31" x14ac:dyDescent="0.25">
      <c r="W105" s="28">
        <v>2009</v>
      </c>
      <c r="X105" s="29">
        <v>6098015.1799999997</v>
      </c>
      <c r="Y105" s="27"/>
      <c r="Z105" s="27"/>
      <c r="AA105" s="27"/>
      <c r="AB105" s="27"/>
      <c r="AC105" s="27" t="s">
        <v>185</v>
      </c>
      <c r="AD105" s="33">
        <v>277836.84000000003</v>
      </c>
      <c r="AE105" s="27">
        <v>546</v>
      </c>
    </row>
    <row r="106" spans="23:31" x14ac:dyDescent="0.25">
      <c r="W106" s="28">
        <v>2010</v>
      </c>
      <c r="X106" s="29">
        <v>8216317.7400000002</v>
      </c>
      <c r="Y106" s="27"/>
      <c r="Z106" s="27"/>
      <c r="AA106" s="27"/>
      <c r="AB106" s="27"/>
      <c r="AC106" s="27" t="s">
        <v>186</v>
      </c>
      <c r="AD106" s="33">
        <v>271036.74</v>
      </c>
      <c r="AE106" s="27">
        <v>588</v>
      </c>
    </row>
    <row r="107" spans="23:31" x14ac:dyDescent="0.25">
      <c r="W107" s="28">
        <v>2011</v>
      </c>
      <c r="X107" s="29">
        <v>10418581.789999999</v>
      </c>
      <c r="Y107" s="27"/>
      <c r="Z107" s="27"/>
      <c r="AA107" s="27"/>
      <c r="AB107" s="27"/>
      <c r="AC107" s="27" t="s">
        <v>187</v>
      </c>
      <c r="AD107" s="33">
        <v>268028.75</v>
      </c>
      <c r="AE107" s="27">
        <v>529</v>
      </c>
    </row>
    <row r="108" spans="23:31" x14ac:dyDescent="0.25">
      <c r="W108" s="28">
        <v>2012</v>
      </c>
      <c r="X108" s="29">
        <v>12888113.289999999</v>
      </c>
      <c r="Y108" s="27"/>
      <c r="Z108" s="27"/>
      <c r="AA108" s="27"/>
      <c r="AB108" s="27"/>
      <c r="AC108" s="27" t="s">
        <v>188</v>
      </c>
      <c r="AD108" s="33">
        <v>249207.04000000001</v>
      </c>
      <c r="AE108" s="27">
        <v>266</v>
      </c>
    </row>
    <row r="109" spans="23:31" x14ac:dyDescent="0.25">
      <c r="W109" s="28">
        <v>2013</v>
      </c>
      <c r="X109" s="29">
        <v>14211272.390000001</v>
      </c>
      <c r="Y109" s="27"/>
      <c r="Z109" s="27"/>
      <c r="AA109" s="27"/>
      <c r="AB109" s="27"/>
      <c r="AC109" s="27" t="s">
        <v>189</v>
      </c>
      <c r="AD109" s="33">
        <v>243850.77</v>
      </c>
      <c r="AE109" s="27">
        <v>235</v>
      </c>
    </row>
    <row r="110" spans="23:31" x14ac:dyDescent="0.25">
      <c r="W110" s="28">
        <v>2014</v>
      </c>
      <c r="X110" s="29">
        <v>13922717.380000001</v>
      </c>
      <c r="Y110" s="27"/>
      <c r="Z110" s="27"/>
      <c r="AA110" s="27"/>
      <c r="AB110" s="27"/>
      <c r="AC110" s="27" t="s">
        <v>190</v>
      </c>
      <c r="AD110" s="33">
        <v>223156.7</v>
      </c>
      <c r="AE110" s="27">
        <v>407</v>
      </c>
    </row>
    <row r="111" spans="23:31" x14ac:dyDescent="0.25">
      <c r="W111" s="28">
        <v>2015</v>
      </c>
      <c r="X111" s="29">
        <v>13355744.439999999</v>
      </c>
      <c r="Y111" s="27"/>
      <c r="Z111" s="27"/>
      <c r="AA111" s="27"/>
      <c r="AB111" s="27"/>
      <c r="AC111" s="27" t="s">
        <v>191</v>
      </c>
      <c r="AD111" s="33">
        <v>222959.95</v>
      </c>
      <c r="AE111" s="27">
        <v>347</v>
      </c>
    </row>
    <row r="112" spans="23:31" x14ac:dyDescent="0.25">
      <c r="W112" s="28">
        <v>2016</v>
      </c>
      <c r="X112" s="29">
        <v>10076695.130000001</v>
      </c>
      <c r="Y112" s="27"/>
      <c r="Z112" s="27"/>
      <c r="AA112" s="27"/>
      <c r="AB112" s="27"/>
      <c r="AC112" s="27" t="s">
        <v>192</v>
      </c>
      <c r="AD112" s="33">
        <v>221153.71</v>
      </c>
      <c r="AE112" s="27">
        <v>162</v>
      </c>
    </row>
    <row r="113" spans="23:31" x14ac:dyDescent="0.25">
      <c r="W113" s="28">
        <v>2017</v>
      </c>
      <c r="X113" s="29">
        <v>10248167.43</v>
      </c>
      <c r="Y113" s="27"/>
      <c r="Z113" s="27"/>
      <c r="AA113" s="27"/>
      <c r="AB113" s="27"/>
      <c r="AC113" s="27" t="s">
        <v>193</v>
      </c>
      <c r="AD113" s="33">
        <v>217963.83</v>
      </c>
      <c r="AE113" s="27">
        <v>524</v>
      </c>
    </row>
    <row r="114" spans="23:31" x14ac:dyDescent="0.25">
      <c r="W114" s="28">
        <v>2018</v>
      </c>
      <c r="X114" s="29">
        <v>10389151.039999999</v>
      </c>
      <c r="Y114" s="27"/>
      <c r="Z114" s="27"/>
      <c r="AA114" s="27"/>
      <c r="AB114" s="27"/>
      <c r="AC114" s="27" t="s">
        <v>194</v>
      </c>
      <c r="AD114" s="33">
        <v>210318.8</v>
      </c>
      <c r="AE114" s="27">
        <v>405</v>
      </c>
    </row>
    <row r="115" spans="23:31" x14ac:dyDescent="0.25">
      <c r="W115" s="28">
        <v>2019</v>
      </c>
      <c r="X115" s="29">
        <v>9093989.4800000004</v>
      </c>
      <c r="Y115" s="27"/>
      <c r="Z115" s="27"/>
      <c r="AA115" s="27"/>
      <c r="AB115" s="27"/>
      <c r="AC115" s="27" t="s">
        <v>77</v>
      </c>
      <c r="AD115" s="33">
        <v>197074.37</v>
      </c>
      <c r="AE115" s="27">
        <v>67</v>
      </c>
    </row>
    <row r="116" spans="23:31" x14ac:dyDescent="0.25">
      <c r="W116" s="28">
        <v>2020</v>
      </c>
      <c r="X116" s="29">
        <v>7627444.7300000004</v>
      </c>
      <c r="Y116" s="27"/>
      <c r="Z116" s="27"/>
      <c r="AA116" s="27"/>
      <c r="AB116" s="27"/>
      <c r="AC116" s="27" t="s">
        <v>195</v>
      </c>
      <c r="AD116" s="33">
        <v>195504.12</v>
      </c>
      <c r="AE116" s="27">
        <v>466</v>
      </c>
    </row>
    <row r="117" spans="23:31" x14ac:dyDescent="0.25">
      <c r="W117" s="28">
        <v>2021</v>
      </c>
      <c r="X117" s="29">
        <v>7182984.5300000003</v>
      </c>
      <c r="Y117" s="27"/>
      <c r="Z117" s="27"/>
      <c r="AA117" s="27"/>
      <c r="AB117" s="27"/>
      <c r="AC117" s="27" t="s">
        <v>196</v>
      </c>
      <c r="AD117" s="33">
        <v>173048.36</v>
      </c>
      <c r="AE117" s="27">
        <v>272</v>
      </c>
    </row>
    <row r="118" spans="23:31" x14ac:dyDescent="0.25">
      <c r="W118" s="28">
        <v>2022</v>
      </c>
      <c r="X118" s="29">
        <v>5995622.7300000004</v>
      </c>
      <c r="Y118" s="27"/>
      <c r="Z118" s="27"/>
      <c r="AA118" s="27"/>
      <c r="AB118" s="27"/>
      <c r="AC118" s="27" t="s">
        <v>197</v>
      </c>
      <c r="AD118" s="33">
        <v>169679.63</v>
      </c>
      <c r="AE118" s="27">
        <v>274</v>
      </c>
    </row>
    <row r="119" spans="23:31" x14ac:dyDescent="0.25">
      <c r="W119" s="28">
        <v>2023</v>
      </c>
      <c r="X119" s="29">
        <v>4004813.76</v>
      </c>
      <c r="Y119" s="27"/>
      <c r="Z119" s="27"/>
      <c r="AA119" s="27"/>
      <c r="AB119" s="27"/>
      <c r="AC119" s="27" t="s">
        <v>198</v>
      </c>
      <c r="AD119" s="33">
        <v>158990.13</v>
      </c>
      <c r="AE119" s="27">
        <v>254</v>
      </c>
    </row>
    <row r="120" spans="23:31" x14ac:dyDescent="0.25">
      <c r="W120" s="28">
        <v>2024</v>
      </c>
      <c r="X120" s="29">
        <v>1456774.01</v>
      </c>
      <c r="Y120" s="27"/>
      <c r="Z120" s="27"/>
      <c r="AA120" s="27"/>
      <c r="AB120" s="27"/>
      <c r="AC120" s="27" t="s">
        <v>199</v>
      </c>
      <c r="AD120" s="33">
        <v>128240.61</v>
      </c>
      <c r="AE120" s="27">
        <v>294</v>
      </c>
    </row>
    <row r="121" spans="23:31" x14ac:dyDescent="0.25">
      <c r="W121" s="27"/>
      <c r="X121" s="27"/>
      <c r="Y121" s="27"/>
      <c r="Z121" s="27"/>
      <c r="AA121" s="27"/>
      <c r="AB121" s="27"/>
      <c r="AC121" s="27" t="s">
        <v>200</v>
      </c>
      <c r="AD121" s="33">
        <v>110156.24</v>
      </c>
      <c r="AE121" s="27">
        <v>69</v>
      </c>
    </row>
    <row r="122" spans="23:31" x14ac:dyDescent="0.25">
      <c r="W122" s="27"/>
      <c r="X122" s="27"/>
      <c r="Y122" s="27"/>
      <c r="Z122" s="27"/>
      <c r="AA122" s="27"/>
      <c r="AB122" s="27"/>
      <c r="AC122" s="27" t="s">
        <v>201</v>
      </c>
      <c r="AD122" s="33">
        <v>99019.54</v>
      </c>
      <c r="AE122" s="27">
        <v>45</v>
      </c>
    </row>
    <row r="123" spans="23:31" x14ac:dyDescent="0.25">
      <c r="W123" s="27"/>
      <c r="X123" s="27"/>
      <c r="Y123" s="27"/>
      <c r="Z123" s="27"/>
      <c r="AA123" s="27"/>
      <c r="AB123" s="27"/>
      <c r="AC123" s="27" t="s">
        <v>202</v>
      </c>
      <c r="AD123" s="33">
        <v>94386.33</v>
      </c>
      <c r="AE123" s="27">
        <v>162</v>
      </c>
    </row>
    <row r="124" spans="23:31" x14ac:dyDescent="0.25">
      <c r="W124" s="27"/>
      <c r="X124" s="27"/>
      <c r="Y124" s="27"/>
      <c r="Z124" s="27"/>
      <c r="AA124" s="27"/>
      <c r="AB124" s="27"/>
      <c r="AC124" s="27" t="s">
        <v>73</v>
      </c>
      <c r="AD124" s="33">
        <v>63837.21</v>
      </c>
      <c r="AE124" s="27">
        <v>16</v>
      </c>
    </row>
    <row r="125" spans="23:31" x14ac:dyDescent="0.25">
      <c r="W125" s="27"/>
      <c r="X125" s="27"/>
      <c r="Y125" s="27"/>
      <c r="Z125" s="27"/>
      <c r="AA125" s="27"/>
      <c r="AB125" s="27"/>
      <c r="AC125" s="27" t="s">
        <v>74</v>
      </c>
      <c r="AD125" s="33">
        <v>62501.53</v>
      </c>
      <c r="AE125" s="27">
        <v>19</v>
      </c>
    </row>
    <row r="126" spans="23:31" x14ac:dyDescent="0.25">
      <c r="W126" s="27"/>
      <c r="X126" s="27"/>
      <c r="Y126" s="27"/>
      <c r="Z126" s="27"/>
      <c r="AA126" s="27"/>
      <c r="AB126" s="27"/>
      <c r="AC126" s="27" t="s">
        <v>76</v>
      </c>
      <c r="AD126" s="33">
        <v>61870.42</v>
      </c>
      <c r="AE126" s="27">
        <v>21</v>
      </c>
    </row>
    <row r="127" spans="23:31" x14ac:dyDescent="0.25">
      <c r="W127" s="27"/>
      <c r="X127" s="27"/>
      <c r="Y127" s="27"/>
      <c r="Z127" s="27"/>
      <c r="AA127" s="27"/>
      <c r="AB127" s="27"/>
      <c r="AC127" s="27" t="s">
        <v>203</v>
      </c>
      <c r="AD127" s="33">
        <v>57838.9</v>
      </c>
      <c r="AE127" s="27">
        <v>54</v>
      </c>
    </row>
    <row r="128" spans="23:31" x14ac:dyDescent="0.25">
      <c r="W128" s="27"/>
      <c r="X128" s="27"/>
      <c r="Y128" s="27"/>
      <c r="Z128" s="27"/>
      <c r="AA128" s="27"/>
      <c r="AB128" s="27"/>
      <c r="AC128" s="27" t="s">
        <v>204</v>
      </c>
      <c r="AD128" s="33">
        <v>50619.77</v>
      </c>
      <c r="AE128" s="27">
        <v>46</v>
      </c>
    </row>
    <row r="129" spans="23:31" x14ac:dyDescent="0.25">
      <c r="W129" s="27"/>
      <c r="X129" s="27"/>
      <c r="Y129" s="27"/>
      <c r="Z129" s="27"/>
      <c r="AA129" s="27"/>
      <c r="AB129" s="27"/>
      <c r="AC129" s="27" t="s">
        <v>78</v>
      </c>
      <c r="AD129" s="33">
        <v>45466.65</v>
      </c>
      <c r="AE129" s="27">
        <v>242</v>
      </c>
    </row>
    <row r="130" spans="23:31" x14ac:dyDescent="0.25">
      <c r="W130" s="27"/>
      <c r="X130" s="27"/>
      <c r="Y130" s="27"/>
      <c r="Z130" s="27"/>
      <c r="AA130" s="27"/>
      <c r="AB130" s="27"/>
      <c r="AC130" s="27" t="s">
        <v>205</v>
      </c>
      <c r="AD130" s="33">
        <v>44378.36</v>
      </c>
      <c r="AE130" s="27">
        <v>38</v>
      </c>
    </row>
    <row r="131" spans="23:31" x14ac:dyDescent="0.25">
      <c r="W131" s="27"/>
      <c r="X131" s="27"/>
      <c r="Y131" s="27"/>
      <c r="Z131" s="27"/>
      <c r="AA131" s="27"/>
      <c r="AB131" s="27"/>
      <c r="AC131" s="27" t="s">
        <v>206</v>
      </c>
      <c r="AD131" s="33">
        <v>39404.65</v>
      </c>
      <c r="AE131" s="27">
        <v>49</v>
      </c>
    </row>
    <row r="132" spans="23:31" x14ac:dyDescent="0.25">
      <c r="W132" s="27"/>
      <c r="X132" s="27"/>
      <c r="Y132" s="27"/>
      <c r="Z132" s="27"/>
      <c r="AA132" s="27"/>
      <c r="AB132" s="27"/>
      <c r="AC132" s="27" t="s">
        <v>207</v>
      </c>
      <c r="AD132" s="33">
        <v>27936.01</v>
      </c>
      <c r="AE132" s="27">
        <v>36</v>
      </c>
    </row>
    <row r="133" spans="23:31" x14ac:dyDescent="0.25">
      <c r="W133" s="27"/>
      <c r="X133" s="27"/>
      <c r="Y133" s="27"/>
      <c r="Z133" s="27"/>
      <c r="AA133" s="27"/>
      <c r="AB133" s="27"/>
      <c r="AC133" s="27" t="s">
        <v>79</v>
      </c>
      <c r="AD133" s="33">
        <v>26802.2</v>
      </c>
      <c r="AE133" s="27">
        <v>272</v>
      </c>
    </row>
    <row r="134" spans="23:31" x14ac:dyDescent="0.25">
      <c r="W134" s="27"/>
      <c r="X134" s="27"/>
      <c r="Y134" s="27"/>
      <c r="Z134" s="27"/>
      <c r="AA134" s="27"/>
      <c r="AB134" s="27"/>
      <c r="AC134" s="27" t="s">
        <v>208</v>
      </c>
      <c r="AD134" s="33">
        <v>25114.3</v>
      </c>
      <c r="AE134" s="27">
        <v>61</v>
      </c>
    </row>
    <row r="135" spans="23:31" x14ac:dyDescent="0.25">
      <c r="W135" s="27"/>
      <c r="X135" s="27"/>
      <c r="Y135" s="27"/>
      <c r="Z135" s="27"/>
      <c r="AA135" s="27"/>
      <c r="AB135" s="27"/>
      <c r="AC135" s="27">
        <v>115</v>
      </c>
      <c r="AD135" s="33">
        <v>11900.1</v>
      </c>
      <c r="AE135" s="27">
        <v>14</v>
      </c>
    </row>
    <row r="136" spans="23:31" x14ac:dyDescent="0.25">
      <c r="W136" s="27"/>
      <c r="X136" s="27"/>
      <c r="Y136" s="27"/>
      <c r="Z136" s="27"/>
      <c r="AA136" s="27"/>
      <c r="AB136" s="27"/>
      <c r="AC136" s="27" t="s">
        <v>209</v>
      </c>
      <c r="AD136" s="33">
        <v>8098.4</v>
      </c>
      <c r="AE136" s="27">
        <v>4</v>
      </c>
    </row>
    <row r="137" spans="23:31" x14ac:dyDescent="0.25">
      <c r="W137" s="27"/>
      <c r="X137" s="27"/>
      <c r="Y137" s="27"/>
      <c r="Z137" s="27"/>
      <c r="AA137" s="27"/>
      <c r="AB137" s="27"/>
      <c r="AC137" s="27" t="s">
        <v>10</v>
      </c>
      <c r="AD137" s="33">
        <v>2380.6999999999998</v>
      </c>
      <c r="AE137" s="27">
        <v>7</v>
      </c>
    </row>
    <row r="138" spans="23:31" x14ac:dyDescent="0.25">
      <c r="W138" s="27"/>
      <c r="X138" s="27"/>
      <c r="Y138" s="27"/>
      <c r="Z138" s="27"/>
      <c r="AA138" s="27"/>
      <c r="AB138" s="27"/>
      <c r="AC138" s="27" t="s">
        <v>12</v>
      </c>
      <c r="AD138" s="33">
        <v>1268.1300000000001</v>
      </c>
      <c r="AE138" s="27">
        <v>10</v>
      </c>
    </row>
    <row r="139" spans="23:31" x14ac:dyDescent="0.25">
      <c r="W139" s="27"/>
      <c r="X139" s="27"/>
      <c r="Y139" s="27"/>
      <c r="Z139" s="27"/>
      <c r="AA139" s="27"/>
      <c r="AB139" s="27"/>
      <c r="AC139" s="27" t="s">
        <v>14</v>
      </c>
      <c r="AD139" s="33">
        <v>227.98</v>
      </c>
      <c r="AE139" s="27">
        <v>2</v>
      </c>
    </row>
    <row r="140" spans="23:31" x14ac:dyDescent="0.25">
      <c r="W140" s="27"/>
      <c r="X140" s="27"/>
      <c r="Y140" s="27"/>
      <c r="Z140" s="27"/>
      <c r="AA140" s="27"/>
      <c r="AB140" s="27"/>
      <c r="AC140" s="27" t="s">
        <v>16</v>
      </c>
      <c r="AD140" s="33">
        <v>133.38999999999999</v>
      </c>
      <c r="AE140" s="27">
        <v>1</v>
      </c>
    </row>
  </sheetData>
  <mergeCells count="4">
    <mergeCell ref="AG1:AH1"/>
    <mergeCell ref="W1:X1"/>
    <mergeCell ref="Z1:AA1"/>
    <mergeCell ref="AC1:A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 de Insights</vt:lpstr>
      <vt:lpstr>DashBoards de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Gallo</dc:creator>
  <cp:lastModifiedBy>Leandro Gallo</cp:lastModifiedBy>
  <dcterms:created xsi:type="dcterms:W3CDTF">2015-06-05T18:19:34Z</dcterms:created>
  <dcterms:modified xsi:type="dcterms:W3CDTF">2026-03-14T19:14:32Z</dcterms:modified>
</cp:coreProperties>
</file>